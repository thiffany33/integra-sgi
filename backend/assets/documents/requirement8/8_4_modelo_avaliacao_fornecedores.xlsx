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ff\Downloads\"/>
    </mc:Choice>
  </mc:AlternateContent>
  <xr:revisionPtr revIDLastSave="0" documentId="13_ncr:1_{5B31D258-3ACF-4FE6-9050-6CC61CC712CC}" xr6:coauthVersionLast="47" xr6:coauthVersionMax="47" xr10:uidLastSave="{00000000-0000-0000-0000-000000000000}"/>
  <bookViews>
    <workbookView xWindow="-108" yWindow="-108" windowWidth="23256" windowHeight="13176" tabRatio="679" firstSheet="4" activeTab="6" xr2:uid="{073A7DA1-8F09-4975-A959-95672E64B932}"/>
  </bookViews>
  <sheets>
    <sheet name="Guia - Avaliação" sheetId="6" r:id="rId1"/>
    <sheet name="Avaliação dos Fornecedores" sheetId="1" r:id="rId2"/>
    <sheet name="Guia - Critério de Análise" sheetId="7" r:id="rId3"/>
    <sheet name="Critério de Análise dos Forne" sheetId="5" r:id="rId4"/>
    <sheet name="Guia - Seleção" sheetId="8" r:id="rId5"/>
    <sheet name="Seleção dos Fornecedores" sheetId="4" r:id="rId6"/>
    <sheet name="Guia - Critérios de Seleção" sheetId="9" r:id="rId7"/>
    <sheet name="Critérios de Seleção de Fornece" sheetId="2" r:id="rId8"/>
  </sheets>
  <definedNames>
    <definedName name="_xlnm._FilterDatabase" localSheetId="7" hidden="1">'Critérios de Seleção de Fornece'!$Y$6:$Y$15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3" i="4" l="1"/>
  <c r="D43" i="4"/>
  <c r="E43" i="4"/>
  <c r="F43" i="4"/>
  <c r="G43" i="4"/>
  <c r="H43" i="4"/>
  <c r="I43" i="4"/>
  <c r="J43" i="4"/>
  <c r="K43" i="4"/>
  <c r="N43" i="4"/>
  <c r="O43" i="4"/>
  <c r="P43" i="4"/>
  <c r="C44" i="4"/>
  <c r="D44" i="4"/>
  <c r="E44" i="4"/>
  <c r="F44" i="4"/>
  <c r="G44" i="4"/>
  <c r="H44" i="4"/>
  <c r="I44" i="4"/>
  <c r="J44" i="4"/>
  <c r="K44" i="4"/>
  <c r="N44" i="4"/>
  <c r="O44" i="4"/>
  <c r="P44" i="4"/>
  <c r="C45" i="4"/>
  <c r="D45" i="4"/>
  <c r="E45" i="4"/>
  <c r="F45" i="4"/>
  <c r="G45" i="4"/>
  <c r="H45" i="4"/>
  <c r="I45" i="4"/>
  <c r="J45" i="4"/>
  <c r="K45" i="4"/>
  <c r="N45" i="4"/>
  <c r="O45" i="4"/>
  <c r="P45" i="4"/>
  <c r="C46" i="4"/>
  <c r="D46" i="4"/>
  <c r="E46" i="4"/>
  <c r="F46" i="4"/>
  <c r="G46" i="4"/>
  <c r="H46" i="4"/>
  <c r="I46" i="4"/>
  <c r="J46" i="4"/>
  <c r="K46" i="4"/>
  <c r="N46" i="4"/>
  <c r="O46" i="4"/>
  <c r="P46" i="4"/>
  <c r="C47" i="4"/>
  <c r="D47" i="4"/>
  <c r="E47" i="4"/>
  <c r="F47" i="4"/>
  <c r="G47" i="4"/>
  <c r="H47" i="4"/>
  <c r="I47" i="4"/>
  <c r="J47" i="4"/>
  <c r="K47" i="4"/>
  <c r="N47" i="4"/>
  <c r="O47" i="4"/>
  <c r="P47" i="4"/>
  <c r="C48" i="4"/>
  <c r="D48" i="4"/>
  <c r="E48" i="4"/>
  <c r="F48" i="4"/>
  <c r="G48" i="4"/>
  <c r="H48" i="4"/>
  <c r="I48" i="4"/>
  <c r="J48" i="4"/>
  <c r="K48" i="4"/>
  <c r="N48" i="4"/>
  <c r="O48" i="4"/>
  <c r="P48" i="4"/>
  <c r="C49" i="4"/>
  <c r="D49" i="4"/>
  <c r="E49" i="4"/>
  <c r="F49" i="4"/>
  <c r="G49" i="4"/>
  <c r="H49" i="4"/>
  <c r="I49" i="4"/>
  <c r="J49" i="4"/>
  <c r="K49" i="4"/>
  <c r="N49" i="4"/>
  <c r="O49" i="4"/>
  <c r="P49" i="4"/>
  <c r="C50" i="4"/>
  <c r="D50" i="4"/>
  <c r="E50" i="4"/>
  <c r="F50" i="4"/>
  <c r="G50" i="4"/>
  <c r="H50" i="4"/>
  <c r="I50" i="4"/>
  <c r="J50" i="4"/>
  <c r="K50" i="4"/>
  <c r="N50" i="4"/>
  <c r="O50" i="4"/>
  <c r="P50" i="4"/>
  <c r="C51" i="4"/>
  <c r="D51" i="4"/>
  <c r="E51" i="4"/>
  <c r="F51" i="4"/>
  <c r="G51" i="4"/>
  <c r="H51" i="4"/>
  <c r="I51" i="4"/>
  <c r="J51" i="4"/>
  <c r="K51" i="4"/>
  <c r="N51" i="4"/>
  <c r="O51" i="4"/>
  <c r="P51" i="4"/>
  <c r="C52" i="4"/>
  <c r="D52" i="4"/>
  <c r="E52" i="4"/>
  <c r="F52" i="4"/>
  <c r="G52" i="4"/>
  <c r="H52" i="4"/>
  <c r="I52" i="4"/>
  <c r="J52" i="4"/>
  <c r="K52" i="4"/>
  <c r="N52" i="4"/>
  <c r="O52" i="4"/>
  <c r="P52" i="4"/>
  <c r="C53" i="4"/>
  <c r="D53" i="4"/>
  <c r="E53" i="4"/>
  <c r="F53" i="4"/>
  <c r="G53" i="4"/>
  <c r="H53" i="4"/>
  <c r="I53" i="4"/>
  <c r="J53" i="4"/>
  <c r="K53" i="4"/>
  <c r="N53" i="4"/>
  <c r="O53" i="4"/>
  <c r="P53" i="4"/>
  <c r="C54" i="4"/>
  <c r="D54" i="4"/>
  <c r="E54" i="4"/>
  <c r="F54" i="4"/>
  <c r="G54" i="4"/>
  <c r="H54" i="4"/>
  <c r="I54" i="4"/>
  <c r="J54" i="4"/>
  <c r="K54" i="4"/>
  <c r="N54" i="4"/>
  <c r="O54" i="4"/>
  <c r="P54" i="4"/>
  <c r="C55" i="4"/>
  <c r="D55" i="4"/>
  <c r="E55" i="4"/>
  <c r="F55" i="4"/>
  <c r="G55" i="4"/>
  <c r="H55" i="4"/>
  <c r="I55" i="4"/>
  <c r="J55" i="4"/>
  <c r="K55" i="4"/>
  <c r="N55" i="4"/>
  <c r="O55" i="4"/>
  <c r="P55" i="4"/>
  <c r="C56" i="4"/>
  <c r="D56" i="4"/>
  <c r="E56" i="4"/>
  <c r="F56" i="4"/>
  <c r="G56" i="4"/>
  <c r="H56" i="4"/>
  <c r="I56" i="4"/>
  <c r="J56" i="4"/>
  <c r="K56" i="4"/>
  <c r="N56" i="4"/>
  <c r="O56" i="4"/>
  <c r="P56" i="4"/>
  <c r="C57" i="4"/>
  <c r="D57" i="4"/>
  <c r="E57" i="4"/>
  <c r="F57" i="4"/>
  <c r="G57" i="4"/>
  <c r="H57" i="4"/>
  <c r="I57" i="4"/>
  <c r="J57" i="4"/>
  <c r="K57" i="4"/>
  <c r="N57" i="4"/>
  <c r="O57" i="4"/>
  <c r="P57" i="4"/>
  <c r="C58" i="4"/>
  <c r="D58" i="4"/>
  <c r="E58" i="4"/>
  <c r="F58" i="4"/>
  <c r="G58" i="4"/>
  <c r="H58" i="4"/>
  <c r="I58" i="4"/>
  <c r="J58" i="4"/>
  <c r="K58" i="4"/>
  <c r="N58" i="4"/>
  <c r="O58" i="4"/>
  <c r="P58" i="4"/>
  <c r="C59" i="4"/>
  <c r="D59" i="4"/>
  <c r="E59" i="4"/>
  <c r="F59" i="4"/>
  <c r="G59" i="4"/>
  <c r="H59" i="4"/>
  <c r="I59" i="4"/>
  <c r="J59" i="4"/>
  <c r="K59" i="4"/>
  <c r="N59" i="4"/>
  <c r="O59" i="4"/>
  <c r="P59" i="4"/>
  <c r="C60" i="4"/>
  <c r="D60" i="4"/>
  <c r="E60" i="4"/>
  <c r="F60" i="4"/>
  <c r="G60" i="4"/>
  <c r="H60" i="4"/>
  <c r="I60" i="4"/>
  <c r="J60" i="4"/>
  <c r="K60" i="4"/>
  <c r="N60" i="4"/>
  <c r="O60" i="4"/>
  <c r="P60" i="4"/>
  <c r="C61" i="4"/>
  <c r="D61" i="4"/>
  <c r="E61" i="4"/>
  <c r="F61" i="4"/>
  <c r="G61" i="4"/>
  <c r="H61" i="4"/>
  <c r="I61" i="4"/>
  <c r="J61" i="4"/>
  <c r="K61" i="4"/>
  <c r="N61" i="4"/>
  <c r="O61" i="4"/>
  <c r="P61" i="4"/>
  <c r="C62" i="4"/>
  <c r="D62" i="4"/>
  <c r="E62" i="4"/>
  <c r="F62" i="4"/>
  <c r="G62" i="4"/>
  <c r="H62" i="4"/>
  <c r="I62" i="4"/>
  <c r="J62" i="4"/>
  <c r="K62" i="4"/>
  <c r="N62" i="4"/>
  <c r="O62" i="4"/>
  <c r="P62" i="4"/>
  <c r="C63" i="4"/>
  <c r="D63" i="4"/>
  <c r="E63" i="4"/>
  <c r="F63" i="4"/>
  <c r="G63" i="4"/>
  <c r="H63" i="4"/>
  <c r="I63" i="4"/>
  <c r="J63" i="4"/>
  <c r="K63" i="4"/>
  <c r="N63" i="4"/>
  <c r="O63" i="4"/>
  <c r="P63" i="4"/>
  <c r="C64" i="4"/>
  <c r="D64" i="4"/>
  <c r="E64" i="4"/>
  <c r="F64" i="4"/>
  <c r="G64" i="4"/>
  <c r="H64" i="4"/>
  <c r="I64" i="4"/>
  <c r="J64" i="4"/>
  <c r="K64" i="4"/>
  <c r="N64" i="4"/>
  <c r="O64" i="4"/>
  <c r="P64" i="4"/>
  <c r="C65" i="4"/>
  <c r="D65" i="4"/>
  <c r="E65" i="4"/>
  <c r="F65" i="4"/>
  <c r="G65" i="4"/>
  <c r="H65" i="4"/>
  <c r="I65" i="4"/>
  <c r="J65" i="4"/>
  <c r="K65" i="4"/>
  <c r="N65" i="4"/>
  <c r="O65" i="4"/>
  <c r="P65" i="4"/>
  <c r="C66" i="4"/>
  <c r="D66" i="4"/>
  <c r="E66" i="4"/>
  <c r="F66" i="4"/>
  <c r="G66" i="4"/>
  <c r="H66" i="4"/>
  <c r="I66" i="4"/>
  <c r="J66" i="4"/>
  <c r="K66" i="4"/>
  <c r="N66" i="4"/>
  <c r="O66" i="4"/>
  <c r="P66" i="4"/>
  <c r="C67" i="4"/>
  <c r="D67" i="4"/>
  <c r="E67" i="4"/>
  <c r="F67" i="4"/>
  <c r="G67" i="4"/>
  <c r="H67" i="4"/>
  <c r="I67" i="4"/>
  <c r="J67" i="4"/>
  <c r="K67" i="4"/>
  <c r="N67" i="4"/>
  <c r="O67" i="4"/>
  <c r="P67" i="4"/>
  <c r="C68" i="4"/>
  <c r="D68" i="4"/>
  <c r="E68" i="4"/>
  <c r="F68" i="4"/>
  <c r="G68" i="4"/>
  <c r="H68" i="4"/>
  <c r="I68" i="4"/>
  <c r="J68" i="4"/>
  <c r="K68" i="4"/>
  <c r="N68" i="4"/>
  <c r="O68" i="4"/>
  <c r="P68" i="4"/>
  <c r="C69" i="4"/>
  <c r="D69" i="4"/>
  <c r="E69" i="4"/>
  <c r="F69" i="4"/>
  <c r="G69" i="4"/>
  <c r="H69" i="4"/>
  <c r="I69" i="4"/>
  <c r="J69" i="4"/>
  <c r="K69" i="4"/>
  <c r="N69" i="4"/>
  <c r="O69" i="4"/>
  <c r="P69" i="4"/>
  <c r="C70" i="4"/>
  <c r="D70" i="4"/>
  <c r="E70" i="4"/>
  <c r="F70" i="4"/>
  <c r="G70" i="4"/>
  <c r="H70" i="4"/>
  <c r="I70" i="4"/>
  <c r="J70" i="4"/>
  <c r="K70" i="4"/>
  <c r="N70" i="4"/>
  <c r="O70" i="4"/>
  <c r="P70" i="4"/>
  <c r="C71" i="4"/>
  <c r="D71" i="4"/>
  <c r="E71" i="4"/>
  <c r="F71" i="4"/>
  <c r="G71" i="4"/>
  <c r="H71" i="4"/>
  <c r="I71" i="4"/>
  <c r="J71" i="4"/>
  <c r="K71" i="4"/>
  <c r="N71" i="4"/>
  <c r="O71" i="4"/>
  <c r="P71" i="4"/>
  <c r="C72" i="4"/>
  <c r="D72" i="4"/>
  <c r="E72" i="4"/>
  <c r="F72" i="4"/>
  <c r="G72" i="4"/>
  <c r="H72" i="4"/>
  <c r="I72" i="4"/>
  <c r="J72" i="4"/>
  <c r="K72" i="4"/>
  <c r="N72" i="4"/>
  <c r="O72" i="4"/>
  <c r="P72" i="4"/>
  <c r="C73" i="4"/>
  <c r="D73" i="4"/>
  <c r="E73" i="4"/>
  <c r="F73" i="4"/>
  <c r="G73" i="4"/>
  <c r="H73" i="4"/>
  <c r="I73" i="4"/>
  <c r="J73" i="4"/>
  <c r="K73" i="4"/>
  <c r="N73" i="4"/>
  <c r="O73" i="4"/>
  <c r="P73" i="4"/>
  <c r="C74" i="4"/>
  <c r="D74" i="4"/>
  <c r="E74" i="4"/>
  <c r="F74" i="4"/>
  <c r="G74" i="4"/>
  <c r="H74" i="4"/>
  <c r="I74" i="4"/>
  <c r="J74" i="4"/>
  <c r="K74" i="4"/>
  <c r="N74" i="4"/>
  <c r="O74" i="4"/>
  <c r="P74" i="4"/>
  <c r="C75" i="4"/>
  <c r="D75" i="4"/>
  <c r="E75" i="4"/>
  <c r="F75" i="4"/>
  <c r="G75" i="4"/>
  <c r="H75" i="4"/>
  <c r="I75" i="4"/>
  <c r="J75" i="4"/>
  <c r="K75" i="4"/>
  <c r="N75" i="4"/>
  <c r="O75" i="4"/>
  <c r="P75" i="4"/>
  <c r="C76" i="4"/>
  <c r="D76" i="4"/>
  <c r="E76" i="4"/>
  <c r="F76" i="4"/>
  <c r="G76" i="4"/>
  <c r="H76" i="4"/>
  <c r="I76" i="4"/>
  <c r="J76" i="4"/>
  <c r="K76" i="4"/>
  <c r="N76" i="4"/>
  <c r="O76" i="4"/>
  <c r="P76" i="4"/>
  <c r="C77" i="4"/>
  <c r="D77" i="4"/>
  <c r="E77" i="4"/>
  <c r="F77" i="4"/>
  <c r="G77" i="4"/>
  <c r="H77" i="4"/>
  <c r="I77" i="4"/>
  <c r="J77" i="4"/>
  <c r="K77" i="4"/>
  <c r="N77" i="4"/>
  <c r="O77" i="4"/>
  <c r="P77" i="4"/>
  <c r="C78" i="4"/>
  <c r="D78" i="4"/>
  <c r="E78" i="4"/>
  <c r="F78" i="4"/>
  <c r="G78" i="4"/>
  <c r="H78" i="4"/>
  <c r="I78" i="4"/>
  <c r="J78" i="4"/>
  <c r="K78" i="4"/>
  <c r="N78" i="4"/>
  <c r="O78" i="4"/>
  <c r="P78" i="4"/>
  <c r="C79" i="4"/>
  <c r="D79" i="4"/>
  <c r="E79" i="4"/>
  <c r="F79" i="4"/>
  <c r="G79" i="4"/>
  <c r="H79" i="4"/>
  <c r="I79" i="4"/>
  <c r="J79" i="4"/>
  <c r="K79" i="4"/>
  <c r="N79" i="4"/>
  <c r="O79" i="4"/>
  <c r="P79" i="4"/>
  <c r="C80" i="4"/>
  <c r="D80" i="4"/>
  <c r="E80" i="4"/>
  <c r="F80" i="4"/>
  <c r="G80" i="4"/>
  <c r="H80" i="4"/>
  <c r="I80" i="4"/>
  <c r="J80" i="4"/>
  <c r="K80" i="4"/>
  <c r="N80" i="4"/>
  <c r="O80" i="4"/>
  <c r="P80" i="4"/>
  <c r="C81" i="4"/>
  <c r="D81" i="4"/>
  <c r="E81" i="4"/>
  <c r="F81" i="4"/>
  <c r="G81" i="4"/>
  <c r="H81" i="4"/>
  <c r="I81" i="4"/>
  <c r="J81" i="4"/>
  <c r="K81" i="4"/>
  <c r="N81" i="4"/>
  <c r="O81" i="4"/>
  <c r="P81" i="4"/>
  <c r="C82" i="4"/>
  <c r="D82" i="4"/>
  <c r="E82" i="4"/>
  <c r="F82" i="4"/>
  <c r="G82" i="4"/>
  <c r="H82" i="4"/>
  <c r="I82" i="4"/>
  <c r="J82" i="4"/>
  <c r="K82" i="4"/>
  <c r="N82" i="4"/>
  <c r="O82" i="4" s="1"/>
  <c r="P82" i="4" s="1"/>
  <c r="C83" i="4"/>
  <c r="D83" i="4"/>
  <c r="E83" i="4"/>
  <c r="F83" i="4"/>
  <c r="G83" i="4"/>
  <c r="H83" i="4"/>
  <c r="I83" i="4"/>
  <c r="J83" i="4"/>
  <c r="K83" i="4"/>
  <c r="N83" i="4"/>
  <c r="O83" i="4" s="1"/>
  <c r="P83" i="4" s="1"/>
  <c r="C84" i="4"/>
  <c r="D84" i="4"/>
  <c r="E84" i="4"/>
  <c r="F84" i="4"/>
  <c r="G84" i="4"/>
  <c r="H84" i="4"/>
  <c r="I84" i="4"/>
  <c r="J84" i="4"/>
  <c r="K84" i="4"/>
  <c r="N84" i="4"/>
  <c r="O84" i="4" s="1"/>
  <c r="P84" i="4" s="1"/>
  <c r="C85" i="4"/>
  <c r="D85" i="4"/>
  <c r="E85" i="4"/>
  <c r="F85" i="4"/>
  <c r="G85" i="4"/>
  <c r="H85" i="4"/>
  <c r="I85" i="4"/>
  <c r="J85" i="4"/>
  <c r="K85" i="4"/>
  <c r="N85" i="4"/>
  <c r="O85" i="4"/>
  <c r="P85" i="4"/>
  <c r="C86" i="4"/>
  <c r="D86" i="4"/>
  <c r="E86" i="4"/>
  <c r="F86" i="4"/>
  <c r="G86" i="4"/>
  <c r="H86" i="4"/>
  <c r="I86" i="4"/>
  <c r="J86" i="4"/>
  <c r="K86" i="4"/>
  <c r="N86" i="4"/>
  <c r="O86" i="4"/>
  <c r="P86" i="4"/>
  <c r="C87" i="4"/>
  <c r="D87" i="4"/>
  <c r="E87" i="4"/>
  <c r="F87" i="4"/>
  <c r="G87" i="4"/>
  <c r="H87" i="4"/>
  <c r="I87" i="4"/>
  <c r="J87" i="4"/>
  <c r="K87" i="4"/>
  <c r="N87" i="4"/>
  <c r="O87" i="4"/>
  <c r="P87" i="4"/>
  <c r="C88" i="4"/>
  <c r="D88" i="4"/>
  <c r="E88" i="4"/>
  <c r="F88" i="4"/>
  <c r="G88" i="4"/>
  <c r="H88" i="4"/>
  <c r="I88" i="4"/>
  <c r="J88" i="4"/>
  <c r="K88" i="4"/>
  <c r="N88" i="4"/>
  <c r="O88" i="4"/>
  <c r="P88" i="4"/>
  <c r="C89" i="4"/>
  <c r="D89" i="4"/>
  <c r="E89" i="4"/>
  <c r="F89" i="4"/>
  <c r="G89" i="4"/>
  <c r="H89" i="4"/>
  <c r="I89" i="4"/>
  <c r="J89" i="4"/>
  <c r="K89" i="4"/>
  <c r="N89" i="4"/>
  <c r="O89" i="4"/>
  <c r="P89" i="4"/>
  <c r="C90" i="4"/>
  <c r="D90" i="4"/>
  <c r="E90" i="4"/>
  <c r="F90" i="4"/>
  <c r="G90" i="4"/>
  <c r="H90" i="4"/>
  <c r="I90" i="4"/>
  <c r="J90" i="4"/>
  <c r="K90" i="4"/>
  <c r="N90" i="4"/>
  <c r="O90" i="4"/>
  <c r="P90" i="4"/>
  <c r="C91" i="4"/>
  <c r="D91" i="4"/>
  <c r="E91" i="4"/>
  <c r="F91" i="4"/>
  <c r="G91" i="4"/>
  <c r="H91" i="4"/>
  <c r="I91" i="4"/>
  <c r="J91" i="4"/>
  <c r="K91" i="4"/>
  <c r="N91" i="4"/>
  <c r="O91" i="4"/>
  <c r="P91" i="4"/>
  <c r="C92" i="4"/>
  <c r="D92" i="4"/>
  <c r="E92" i="4"/>
  <c r="F92" i="4"/>
  <c r="G92" i="4"/>
  <c r="H92" i="4"/>
  <c r="I92" i="4"/>
  <c r="J92" i="4"/>
  <c r="K92" i="4"/>
  <c r="N92" i="4"/>
  <c r="O92" i="4"/>
  <c r="P92" i="4"/>
  <c r="C93" i="4"/>
  <c r="D93" i="4"/>
  <c r="E93" i="4"/>
  <c r="F93" i="4"/>
  <c r="G93" i="4"/>
  <c r="H93" i="4"/>
  <c r="I93" i="4"/>
  <c r="J93" i="4"/>
  <c r="K93" i="4"/>
  <c r="N93" i="4"/>
  <c r="O93" i="4"/>
  <c r="P93" i="4"/>
  <c r="C94" i="4"/>
  <c r="D94" i="4"/>
  <c r="E94" i="4"/>
  <c r="F94" i="4"/>
  <c r="G94" i="4"/>
  <c r="H94" i="4"/>
  <c r="I94" i="4"/>
  <c r="J94" i="4"/>
  <c r="K94" i="4"/>
  <c r="N94" i="4"/>
  <c r="O94" i="4"/>
  <c r="P94" i="4"/>
  <c r="C95" i="4"/>
  <c r="D95" i="4"/>
  <c r="E95" i="4"/>
  <c r="F95" i="4"/>
  <c r="G95" i="4"/>
  <c r="H95" i="4"/>
  <c r="I95" i="4"/>
  <c r="J95" i="4"/>
  <c r="K95" i="4"/>
  <c r="N95" i="4"/>
  <c r="O95" i="4"/>
  <c r="P95" i="4"/>
  <c r="C96" i="4"/>
  <c r="D96" i="4"/>
  <c r="E96" i="4"/>
  <c r="F96" i="4"/>
  <c r="G96" i="4"/>
  <c r="H96" i="4"/>
  <c r="I96" i="4"/>
  <c r="J96" i="4"/>
  <c r="K96" i="4"/>
  <c r="N96" i="4"/>
  <c r="O96" i="4"/>
  <c r="P96" i="4"/>
  <c r="C97" i="4"/>
  <c r="D97" i="4"/>
  <c r="E97" i="4"/>
  <c r="F97" i="4"/>
  <c r="G97" i="4"/>
  <c r="H97" i="4"/>
  <c r="I97" i="4"/>
  <c r="J97" i="4"/>
  <c r="K97" i="4"/>
  <c r="N97" i="4"/>
  <c r="O97" i="4"/>
  <c r="P97" i="4"/>
  <c r="C98" i="4"/>
  <c r="D98" i="4"/>
  <c r="E98" i="4"/>
  <c r="F98" i="4"/>
  <c r="G98" i="4"/>
  <c r="H98" i="4"/>
  <c r="I98" i="4"/>
  <c r="J98" i="4"/>
  <c r="K98" i="4"/>
  <c r="N98" i="4"/>
  <c r="O98" i="4"/>
  <c r="P98" i="4"/>
  <c r="C99" i="4"/>
  <c r="D99" i="4"/>
  <c r="E99" i="4"/>
  <c r="F99" i="4"/>
  <c r="G99" i="4"/>
  <c r="H99" i="4"/>
  <c r="I99" i="4"/>
  <c r="J99" i="4"/>
  <c r="K99" i="4"/>
  <c r="N99" i="4"/>
  <c r="O99" i="4"/>
  <c r="P99" i="4"/>
  <c r="C100" i="4"/>
  <c r="D100" i="4"/>
  <c r="E100" i="4"/>
  <c r="F100" i="4"/>
  <c r="G100" i="4"/>
  <c r="H100" i="4"/>
  <c r="I100" i="4"/>
  <c r="J100" i="4"/>
  <c r="K100" i="4"/>
  <c r="N100" i="4"/>
  <c r="O100" i="4"/>
  <c r="P100" i="4"/>
  <c r="C101" i="4"/>
  <c r="D101" i="4"/>
  <c r="E101" i="4"/>
  <c r="F101" i="4"/>
  <c r="G101" i="4"/>
  <c r="H101" i="4"/>
  <c r="I101" i="4"/>
  <c r="J101" i="4"/>
  <c r="K101" i="4"/>
  <c r="N101" i="4"/>
  <c r="O101" i="4"/>
  <c r="P101" i="4"/>
  <c r="C102" i="4"/>
  <c r="D102" i="4"/>
  <c r="E102" i="4"/>
  <c r="F102" i="4"/>
  <c r="G102" i="4"/>
  <c r="H102" i="4"/>
  <c r="I102" i="4"/>
  <c r="J102" i="4"/>
  <c r="K102" i="4"/>
  <c r="N102" i="4"/>
  <c r="O102" i="4"/>
  <c r="P102" i="4"/>
  <c r="C103" i="4"/>
  <c r="D103" i="4"/>
  <c r="E103" i="4"/>
  <c r="F103" i="4"/>
  <c r="G103" i="4"/>
  <c r="H103" i="4"/>
  <c r="I103" i="4"/>
  <c r="J103" i="4"/>
  <c r="K103" i="4"/>
  <c r="N103" i="4"/>
  <c r="O103" i="4"/>
  <c r="P103" i="4"/>
  <c r="C104" i="4"/>
  <c r="D104" i="4"/>
  <c r="E104" i="4"/>
  <c r="F104" i="4"/>
  <c r="G104" i="4"/>
  <c r="H104" i="4"/>
  <c r="I104" i="4"/>
  <c r="J104" i="4"/>
  <c r="K104" i="4"/>
  <c r="N104" i="4"/>
  <c r="O104" i="4"/>
  <c r="P104" i="4"/>
  <c r="C105" i="4"/>
  <c r="D105" i="4"/>
  <c r="E105" i="4"/>
  <c r="F105" i="4"/>
  <c r="G105" i="4"/>
  <c r="H105" i="4"/>
  <c r="I105" i="4"/>
  <c r="J105" i="4"/>
  <c r="K105" i="4"/>
  <c r="N105" i="4"/>
  <c r="O105" i="4"/>
  <c r="P105" i="4"/>
  <c r="C106" i="4"/>
  <c r="D106" i="4"/>
  <c r="E106" i="4"/>
  <c r="F106" i="4"/>
  <c r="G106" i="4"/>
  <c r="H106" i="4"/>
  <c r="I106" i="4"/>
  <c r="J106" i="4"/>
  <c r="K106" i="4"/>
  <c r="N106" i="4"/>
  <c r="O106" i="4"/>
  <c r="P106" i="4"/>
  <c r="C107" i="4"/>
  <c r="D107" i="4"/>
  <c r="E107" i="4"/>
  <c r="F107" i="4"/>
  <c r="G107" i="4"/>
  <c r="H107" i="4"/>
  <c r="I107" i="4"/>
  <c r="J107" i="4"/>
  <c r="K107" i="4"/>
  <c r="N107" i="4"/>
  <c r="O107" i="4"/>
  <c r="P107" i="4"/>
  <c r="C108" i="4"/>
  <c r="D108" i="4"/>
  <c r="E108" i="4"/>
  <c r="F108" i="4"/>
  <c r="G108" i="4"/>
  <c r="H108" i="4"/>
  <c r="I108" i="4"/>
  <c r="J108" i="4"/>
  <c r="K108" i="4"/>
  <c r="N108" i="4"/>
  <c r="O108" i="4"/>
  <c r="P108" i="4"/>
  <c r="C109" i="4"/>
  <c r="D109" i="4"/>
  <c r="E109" i="4"/>
  <c r="F109" i="4"/>
  <c r="G109" i="4"/>
  <c r="H109" i="4"/>
  <c r="I109" i="4"/>
  <c r="J109" i="4"/>
  <c r="K109" i="4"/>
  <c r="N109" i="4"/>
  <c r="O109" i="4"/>
  <c r="P109" i="4"/>
  <c r="C110" i="4"/>
  <c r="D110" i="4"/>
  <c r="E110" i="4"/>
  <c r="F110" i="4"/>
  <c r="G110" i="4"/>
  <c r="H110" i="4"/>
  <c r="I110" i="4"/>
  <c r="J110" i="4"/>
  <c r="K110" i="4"/>
  <c r="N110" i="4"/>
  <c r="O110" i="4"/>
  <c r="P110" i="4"/>
  <c r="C111" i="4"/>
  <c r="D111" i="4"/>
  <c r="E111" i="4"/>
  <c r="F111" i="4"/>
  <c r="G111" i="4"/>
  <c r="H111" i="4"/>
  <c r="I111" i="4"/>
  <c r="J111" i="4"/>
  <c r="K111" i="4"/>
  <c r="N111" i="4"/>
  <c r="O111" i="4"/>
  <c r="P111" i="4"/>
  <c r="C112" i="4"/>
  <c r="D112" i="4"/>
  <c r="E112" i="4"/>
  <c r="F112" i="4"/>
  <c r="G112" i="4"/>
  <c r="H112" i="4"/>
  <c r="I112" i="4"/>
  <c r="J112" i="4"/>
  <c r="K112" i="4"/>
  <c r="N112" i="4"/>
  <c r="O112" i="4"/>
  <c r="P112" i="4"/>
  <c r="C113" i="4"/>
  <c r="D113" i="4"/>
  <c r="E113" i="4"/>
  <c r="F113" i="4"/>
  <c r="G113" i="4"/>
  <c r="H113" i="4"/>
  <c r="I113" i="4"/>
  <c r="J113" i="4"/>
  <c r="K113" i="4"/>
  <c r="N113" i="4"/>
  <c r="O113" i="4"/>
  <c r="P113" i="4"/>
  <c r="C114" i="4"/>
  <c r="D114" i="4"/>
  <c r="E114" i="4"/>
  <c r="F114" i="4"/>
  <c r="G114" i="4"/>
  <c r="H114" i="4"/>
  <c r="I114" i="4"/>
  <c r="J114" i="4"/>
  <c r="K114" i="4"/>
  <c r="N114" i="4"/>
  <c r="O114" i="4"/>
  <c r="P114" i="4"/>
  <c r="C115" i="4"/>
  <c r="D115" i="4"/>
  <c r="E115" i="4"/>
  <c r="F115" i="4"/>
  <c r="G115" i="4"/>
  <c r="H115" i="4"/>
  <c r="I115" i="4"/>
  <c r="J115" i="4"/>
  <c r="K115" i="4"/>
  <c r="N115" i="4"/>
  <c r="O115" i="4"/>
  <c r="P115" i="4"/>
  <c r="C116" i="4"/>
  <c r="D116" i="4"/>
  <c r="E116" i="4"/>
  <c r="F116" i="4"/>
  <c r="G116" i="4"/>
  <c r="H116" i="4"/>
  <c r="I116" i="4"/>
  <c r="J116" i="4"/>
  <c r="K116" i="4"/>
  <c r="N116" i="4"/>
  <c r="O116" i="4"/>
  <c r="P116" i="4"/>
  <c r="C117" i="4"/>
  <c r="D117" i="4"/>
  <c r="E117" i="4"/>
  <c r="F117" i="4"/>
  <c r="G117" i="4"/>
  <c r="H117" i="4"/>
  <c r="I117" i="4"/>
  <c r="J117" i="4"/>
  <c r="K117" i="4"/>
  <c r="N117" i="4"/>
  <c r="O117" i="4"/>
  <c r="P117" i="4"/>
  <c r="C118" i="4"/>
  <c r="D118" i="4"/>
  <c r="E118" i="4"/>
  <c r="F118" i="4"/>
  <c r="G118" i="4"/>
  <c r="H118" i="4"/>
  <c r="I118" i="4"/>
  <c r="J118" i="4"/>
  <c r="K118" i="4"/>
  <c r="N118" i="4"/>
  <c r="O118" i="4"/>
  <c r="P118" i="4"/>
  <c r="C119" i="4"/>
  <c r="D119" i="4"/>
  <c r="E119" i="4"/>
  <c r="F119" i="4"/>
  <c r="G119" i="4"/>
  <c r="H119" i="4"/>
  <c r="I119" i="4"/>
  <c r="J119" i="4"/>
  <c r="K119" i="4"/>
  <c r="N119" i="4"/>
  <c r="O119" i="4"/>
  <c r="P119" i="4"/>
  <c r="C120" i="4"/>
  <c r="D120" i="4"/>
  <c r="E120" i="4"/>
  <c r="F120" i="4"/>
  <c r="G120" i="4"/>
  <c r="H120" i="4"/>
  <c r="I120" i="4"/>
  <c r="J120" i="4"/>
  <c r="K120" i="4"/>
  <c r="N120" i="4"/>
  <c r="O120" i="4"/>
  <c r="P120" i="4"/>
  <c r="C121" i="4"/>
  <c r="D121" i="4"/>
  <c r="E121" i="4"/>
  <c r="F121" i="4"/>
  <c r="G121" i="4"/>
  <c r="H121" i="4"/>
  <c r="I121" i="4"/>
  <c r="J121" i="4"/>
  <c r="K121" i="4"/>
  <c r="N121" i="4"/>
  <c r="O121" i="4"/>
  <c r="P121" i="4"/>
  <c r="C122" i="4"/>
  <c r="D122" i="4"/>
  <c r="E122" i="4"/>
  <c r="F122" i="4"/>
  <c r="G122" i="4"/>
  <c r="H122" i="4"/>
  <c r="I122" i="4"/>
  <c r="J122" i="4"/>
  <c r="K122" i="4"/>
  <c r="N122" i="4"/>
  <c r="O122" i="4"/>
  <c r="P122" i="4"/>
  <c r="C123" i="4"/>
  <c r="D123" i="4"/>
  <c r="E123" i="4"/>
  <c r="F123" i="4"/>
  <c r="G123" i="4"/>
  <c r="H123" i="4"/>
  <c r="I123" i="4"/>
  <c r="J123" i="4"/>
  <c r="K123" i="4"/>
  <c r="N123" i="4"/>
  <c r="O123" i="4"/>
  <c r="P123" i="4"/>
  <c r="C124" i="4"/>
  <c r="D124" i="4"/>
  <c r="E124" i="4"/>
  <c r="F124" i="4"/>
  <c r="G124" i="4"/>
  <c r="H124" i="4"/>
  <c r="I124" i="4"/>
  <c r="J124" i="4"/>
  <c r="K124" i="4"/>
  <c r="N124" i="4"/>
  <c r="O124" i="4"/>
  <c r="P124" i="4"/>
  <c r="C125" i="4"/>
  <c r="D125" i="4"/>
  <c r="E125" i="4"/>
  <c r="F125" i="4"/>
  <c r="G125" i="4"/>
  <c r="H125" i="4"/>
  <c r="I125" i="4"/>
  <c r="J125" i="4"/>
  <c r="K125" i="4"/>
  <c r="N125" i="4"/>
  <c r="O125" i="4"/>
  <c r="P125" i="4"/>
  <c r="C126" i="4"/>
  <c r="D126" i="4"/>
  <c r="E126" i="4"/>
  <c r="F126" i="4"/>
  <c r="G126" i="4"/>
  <c r="H126" i="4"/>
  <c r="I126" i="4"/>
  <c r="J126" i="4"/>
  <c r="K126" i="4"/>
  <c r="N126" i="4"/>
  <c r="O126" i="4"/>
  <c r="P126" i="4"/>
  <c r="C127" i="4"/>
  <c r="D127" i="4"/>
  <c r="E127" i="4"/>
  <c r="F127" i="4"/>
  <c r="G127" i="4"/>
  <c r="H127" i="4"/>
  <c r="I127" i="4"/>
  <c r="J127" i="4"/>
  <c r="K127" i="4"/>
  <c r="N127" i="4"/>
  <c r="O127" i="4"/>
  <c r="P127" i="4"/>
  <c r="C128" i="4"/>
  <c r="D128" i="4"/>
  <c r="E128" i="4"/>
  <c r="F128" i="4"/>
  <c r="G128" i="4"/>
  <c r="H128" i="4"/>
  <c r="I128" i="4"/>
  <c r="J128" i="4"/>
  <c r="K128" i="4"/>
  <c r="N128" i="4"/>
  <c r="O128" i="4"/>
  <c r="P128" i="4"/>
  <c r="C129" i="4"/>
  <c r="D129" i="4"/>
  <c r="E129" i="4"/>
  <c r="F129" i="4"/>
  <c r="G129" i="4"/>
  <c r="H129" i="4"/>
  <c r="I129" i="4"/>
  <c r="J129" i="4"/>
  <c r="K129" i="4"/>
  <c r="N129" i="4"/>
  <c r="O129" i="4"/>
  <c r="P129" i="4"/>
  <c r="C130" i="4"/>
  <c r="D130" i="4"/>
  <c r="E130" i="4"/>
  <c r="F130" i="4"/>
  <c r="G130" i="4"/>
  <c r="H130" i="4"/>
  <c r="I130" i="4"/>
  <c r="J130" i="4"/>
  <c r="K130" i="4"/>
  <c r="N130" i="4"/>
  <c r="O130" i="4"/>
  <c r="P130" i="4"/>
  <c r="C131" i="4"/>
  <c r="D131" i="4"/>
  <c r="E131" i="4"/>
  <c r="F131" i="4"/>
  <c r="G131" i="4"/>
  <c r="H131" i="4"/>
  <c r="I131" i="4"/>
  <c r="J131" i="4"/>
  <c r="K131" i="4"/>
  <c r="N131" i="4"/>
  <c r="O131" i="4"/>
  <c r="P131" i="4"/>
  <c r="C132" i="4"/>
  <c r="D132" i="4"/>
  <c r="E132" i="4"/>
  <c r="F132" i="4"/>
  <c r="G132" i="4"/>
  <c r="H132" i="4"/>
  <c r="I132" i="4"/>
  <c r="J132" i="4"/>
  <c r="K132" i="4"/>
  <c r="N132" i="4"/>
  <c r="O132" i="4"/>
  <c r="P132" i="4"/>
  <c r="C133" i="4"/>
  <c r="D133" i="4"/>
  <c r="E133" i="4"/>
  <c r="F133" i="4"/>
  <c r="G133" i="4"/>
  <c r="H133" i="4"/>
  <c r="I133" i="4"/>
  <c r="J133" i="4"/>
  <c r="K133" i="4"/>
  <c r="N133" i="4"/>
  <c r="O133" i="4"/>
  <c r="P133" i="4"/>
  <c r="C134" i="4"/>
  <c r="D134" i="4"/>
  <c r="E134" i="4"/>
  <c r="F134" i="4"/>
  <c r="G134" i="4"/>
  <c r="H134" i="4"/>
  <c r="I134" i="4"/>
  <c r="J134" i="4"/>
  <c r="K134" i="4"/>
  <c r="N134" i="4"/>
  <c r="O134" i="4"/>
  <c r="P134" i="4"/>
  <c r="C135" i="4"/>
  <c r="D135" i="4"/>
  <c r="E135" i="4"/>
  <c r="F135" i="4"/>
  <c r="G135" i="4"/>
  <c r="H135" i="4"/>
  <c r="I135" i="4"/>
  <c r="J135" i="4"/>
  <c r="K135" i="4"/>
  <c r="N135" i="4"/>
  <c r="O135" i="4"/>
  <c r="P135" i="4"/>
  <c r="C136" i="4"/>
  <c r="D136" i="4"/>
  <c r="E136" i="4"/>
  <c r="F136" i="4"/>
  <c r="G136" i="4"/>
  <c r="H136" i="4"/>
  <c r="I136" i="4"/>
  <c r="J136" i="4"/>
  <c r="K136" i="4"/>
  <c r="N136" i="4"/>
  <c r="O136" i="4"/>
  <c r="P136" i="4"/>
  <c r="C137" i="4"/>
  <c r="D137" i="4"/>
  <c r="E137" i="4"/>
  <c r="F137" i="4"/>
  <c r="G137" i="4"/>
  <c r="H137" i="4"/>
  <c r="I137" i="4"/>
  <c r="J137" i="4"/>
  <c r="K137" i="4"/>
  <c r="N137" i="4"/>
  <c r="O137" i="4"/>
  <c r="P137" i="4"/>
  <c r="C138" i="4"/>
  <c r="D138" i="4"/>
  <c r="E138" i="4"/>
  <c r="F138" i="4"/>
  <c r="G138" i="4"/>
  <c r="H138" i="4"/>
  <c r="I138" i="4"/>
  <c r="J138" i="4"/>
  <c r="K138" i="4"/>
  <c r="N138" i="4"/>
  <c r="O138" i="4"/>
  <c r="P138" i="4"/>
  <c r="C139" i="4"/>
  <c r="D139" i="4"/>
  <c r="E139" i="4"/>
  <c r="F139" i="4"/>
  <c r="G139" i="4"/>
  <c r="H139" i="4"/>
  <c r="I139" i="4"/>
  <c r="J139" i="4"/>
  <c r="K139" i="4"/>
  <c r="N139" i="4"/>
  <c r="O139" i="4"/>
  <c r="P139" i="4"/>
  <c r="C140" i="4"/>
  <c r="D140" i="4"/>
  <c r="E140" i="4"/>
  <c r="F140" i="4"/>
  <c r="G140" i="4"/>
  <c r="H140" i="4"/>
  <c r="I140" i="4"/>
  <c r="J140" i="4"/>
  <c r="K140" i="4"/>
  <c r="N140" i="4"/>
  <c r="O140" i="4"/>
  <c r="P140" i="4"/>
  <c r="C141" i="4"/>
  <c r="D141" i="4"/>
  <c r="E141" i="4"/>
  <c r="F141" i="4"/>
  <c r="G141" i="4"/>
  <c r="H141" i="4"/>
  <c r="I141" i="4"/>
  <c r="J141" i="4"/>
  <c r="K141" i="4"/>
  <c r="N141" i="4"/>
  <c r="O141" i="4"/>
  <c r="P141" i="4"/>
  <c r="C142" i="4"/>
  <c r="D142" i="4"/>
  <c r="E142" i="4"/>
  <c r="F142" i="4"/>
  <c r="G142" i="4"/>
  <c r="H142" i="4"/>
  <c r="I142" i="4"/>
  <c r="J142" i="4"/>
  <c r="K142" i="4"/>
  <c r="N142" i="4"/>
  <c r="O142" i="4"/>
  <c r="P142" i="4"/>
  <c r="C143" i="4"/>
  <c r="D143" i="4"/>
  <c r="E143" i="4"/>
  <c r="F143" i="4"/>
  <c r="G143" i="4"/>
  <c r="H143" i="4"/>
  <c r="I143" i="4"/>
  <c r="J143" i="4"/>
  <c r="K143" i="4"/>
  <c r="N143" i="4"/>
  <c r="O143" i="4"/>
  <c r="P143" i="4"/>
  <c r="C144" i="4"/>
  <c r="D144" i="4"/>
  <c r="E144" i="4"/>
  <c r="F144" i="4"/>
  <c r="G144" i="4"/>
  <c r="H144" i="4"/>
  <c r="I144" i="4"/>
  <c r="J144" i="4"/>
  <c r="K144" i="4"/>
  <c r="N144" i="4"/>
  <c r="O144" i="4"/>
  <c r="P144" i="4"/>
  <c r="C145" i="4"/>
  <c r="D145" i="4"/>
  <c r="E145" i="4"/>
  <c r="F145" i="4"/>
  <c r="G145" i="4"/>
  <c r="H145" i="4"/>
  <c r="I145" i="4"/>
  <c r="J145" i="4"/>
  <c r="K145" i="4"/>
  <c r="N145" i="4"/>
  <c r="O145" i="4"/>
  <c r="P145" i="4"/>
  <c r="C146" i="4"/>
  <c r="D146" i="4"/>
  <c r="E146" i="4"/>
  <c r="F146" i="4"/>
  <c r="G146" i="4"/>
  <c r="H146" i="4"/>
  <c r="I146" i="4"/>
  <c r="J146" i="4"/>
  <c r="K146" i="4"/>
  <c r="N146" i="4"/>
  <c r="O146" i="4"/>
  <c r="P146" i="4"/>
  <c r="C147" i="4"/>
  <c r="D147" i="4"/>
  <c r="E147" i="4"/>
  <c r="F147" i="4"/>
  <c r="G147" i="4"/>
  <c r="H147" i="4"/>
  <c r="I147" i="4"/>
  <c r="J147" i="4"/>
  <c r="K147" i="4"/>
  <c r="N147" i="4"/>
  <c r="O147" i="4"/>
  <c r="P147" i="4"/>
  <c r="C148" i="4"/>
  <c r="D148" i="4"/>
  <c r="E148" i="4"/>
  <c r="F148" i="4"/>
  <c r="G148" i="4"/>
  <c r="H148" i="4"/>
  <c r="I148" i="4"/>
  <c r="J148" i="4"/>
  <c r="K148" i="4"/>
  <c r="N148" i="4"/>
  <c r="O148" i="4"/>
  <c r="P148" i="4"/>
  <c r="C149" i="4"/>
  <c r="D149" i="4"/>
  <c r="E149" i="4"/>
  <c r="F149" i="4"/>
  <c r="G149" i="4"/>
  <c r="H149" i="4"/>
  <c r="I149" i="4"/>
  <c r="J149" i="4"/>
  <c r="K149" i="4"/>
  <c r="N149" i="4"/>
  <c r="O149" i="4"/>
  <c r="P149" i="4"/>
  <c r="C150" i="4"/>
  <c r="D150" i="4"/>
  <c r="E150" i="4"/>
  <c r="F150" i="4"/>
  <c r="G150" i="4"/>
  <c r="H150" i="4"/>
  <c r="I150" i="4"/>
  <c r="J150" i="4"/>
  <c r="K150" i="4"/>
  <c r="N150" i="4"/>
  <c r="O150" i="4"/>
  <c r="P150" i="4"/>
  <c r="C151" i="4"/>
  <c r="D151" i="4"/>
  <c r="E151" i="4"/>
  <c r="F151" i="4"/>
  <c r="G151" i="4"/>
  <c r="H151" i="4"/>
  <c r="I151" i="4"/>
  <c r="J151" i="4"/>
  <c r="K151" i="4"/>
  <c r="N151" i="4"/>
  <c r="O151" i="4"/>
  <c r="P151" i="4"/>
  <c r="C152" i="4"/>
  <c r="D152" i="4"/>
  <c r="E152" i="4"/>
  <c r="F152" i="4"/>
  <c r="G152" i="4"/>
  <c r="H152" i="4"/>
  <c r="I152" i="4"/>
  <c r="J152" i="4"/>
  <c r="K152" i="4"/>
  <c r="N152" i="4"/>
  <c r="O152" i="4"/>
  <c r="P152" i="4"/>
  <c r="C153" i="4"/>
  <c r="D153" i="4"/>
  <c r="E153" i="4"/>
  <c r="F153" i="4"/>
  <c r="G153" i="4"/>
  <c r="H153" i="4"/>
  <c r="I153" i="4"/>
  <c r="J153" i="4"/>
  <c r="K153" i="4"/>
  <c r="N153" i="4"/>
  <c r="O153" i="4"/>
  <c r="P153" i="4"/>
  <c r="C154" i="4"/>
  <c r="D154" i="4"/>
  <c r="E154" i="4"/>
  <c r="F154" i="4"/>
  <c r="G154" i="4"/>
  <c r="H154" i="4"/>
  <c r="I154" i="4"/>
  <c r="J154" i="4"/>
  <c r="K154" i="4"/>
  <c r="N154" i="4"/>
  <c r="O154" i="4"/>
  <c r="P154" i="4"/>
  <c r="C155" i="4"/>
  <c r="D155" i="4"/>
  <c r="E155" i="4"/>
  <c r="F155" i="4"/>
  <c r="G155" i="4"/>
  <c r="H155" i="4"/>
  <c r="I155" i="4"/>
  <c r="J155" i="4"/>
  <c r="K155" i="4"/>
  <c r="N155" i="4"/>
  <c r="O155" i="4"/>
  <c r="P155" i="4"/>
  <c r="C156" i="4"/>
  <c r="D156" i="4"/>
  <c r="E156" i="4"/>
  <c r="F156" i="4"/>
  <c r="G156" i="4"/>
  <c r="H156" i="4"/>
  <c r="I156" i="4"/>
  <c r="J156" i="4"/>
  <c r="K156" i="4"/>
  <c r="N156" i="4"/>
  <c r="O156" i="4"/>
  <c r="P156" i="4"/>
  <c r="C157" i="4"/>
  <c r="D157" i="4"/>
  <c r="E157" i="4"/>
  <c r="F157" i="4"/>
  <c r="G157" i="4"/>
  <c r="H157" i="4"/>
  <c r="I157" i="4"/>
  <c r="J157" i="4"/>
  <c r="K157" i="4"/>
  <c r="N157" i="4"/>
  <c r="O157" i="4"/>
  <c r="P157" i="4"/>
  <c r="C158" i="4"/>
  <c r="D158" i="4"/>
  <c r="E158" i="4"/>
  <c r="F158" i="4"/>
  <c r="G158" i="4"/>
  <c r="H158" i="4"/>
  <c r="I158" i="4"/>
  <c r="J158" i="4"/>
  <c r="K158" i="4"/>
  <c r="N158" i="4"/>
  <c r="O158" i="4"/>
  <c r="P158" i="4"/>
  <c r="C159" i="4"/>
  <c r="D159" i="4"/>
  <c r="E159" i="4"/>
  <c r="F159" i="4"/>
  <c r="G159" i="4"/>
  <c r="H159" i="4"/>
  <c r="I159" i="4"/>
  <c r="J159" i="4"/>
  <c r="K159" i="4"/>
  <c r="N159" i="4"/>
  <c r="O159" i="4"/>
  <c r="P159" i="4"/>
  <c r="C160" i="4"/>
  <c r="D160" i="4"/>
  <c r="E160" i="4"/>
  <c r="F160" i="4"/>
  <c r="G160" i="4"/>
  <c r="H160" i="4"/>
  <c r="I160" i="4"/>
  <c r="J160" i="4"/>
  <c r="K160" i="4"/>
  <c r="N160" i="4"/>
  <c r="O160" i="4"/>
  <c r="P160" i="4"/>
  <c r="C161" i="4"/>
  <c r="D161" i="4"/>
  <c r="E161" i="4"/>
  <c r="F161" i="4"/>
  <c r="G161" i="4"/>
  <c r="H161" i="4"/>
  <c r="I161" i="4"/>
  <c r="J161" i="4"/>
  <c r="K161" i="4"/>
  <c r="N161" i="4"/>
  <c r="O161" i="4"/>
  <c r="P161" i="4"/>
  <c r="C162" i="4"/>
  <c r="D162" i="4"/>
  <c r="E162" i="4"/>
  <c r="F162" i="4"/>
  <c r="G162" i="4"/>
  <c r="H162" i="4"/>
  <c r="I162" i="4"/>
  <c r="J162" i="4"/>
  <c r="K162" i="4"/>
  <c r="N162" i="4"/>
  <c r="O162" i="4"/>
  <c r="P162" i="4"/>
  <c r="C163" i="4"/>
  <c r="D163" i="4"/>
  <c r="E163" i="4"/>
  <c r="F163" i="4"/>
  <c r="G163" i="4"/>
  <c r="H163" i="4"/>
  <c r="I163" i="4"/>
  <c r="J163" i="4"/>
  <c r="K163" i="4"/>
  <c r="N163" i="4"/>
  <c r="O163" i="4"/>
  <c r="P163" i="4"/>
  <c r="C164" i="4"/>
  <c r="D164" i="4"/>
  <c r="E164" i="4"/>
  <c r="F164" i="4"/>
  <c r="G164" i="4"/>
  <c r="H164" i="4"/>
  <c r="I164" i="4"/>
  <c r="J164" i="4"/>
  <c r="K164" i="4"/>
  <c r="N164" i="4"/>
  <c r="O164" i="4"/>
  <c r="P164" i="4"/>
  <c r="C165" i="4"/>
  <c r="D165" i="4"/>
  <c r="E165" i="4"/>
  <c r="F165" i="4"/>
  <c r="G165" i="4"/>
  <c r="H165" i="4"/>
  <c r="I165" i="4"/>
  <c r="J165" i="4"/>
  <c r="K165" i="4"/>
  <c r="N165" i="4"/>
  <c r="O165" i="4"/>
  <c r="P165" i="4"/>
  <c r="C166" i="4"/>
  <c r="D166" i="4"/>
  <c r="E166" i="4"/>
  <c r="F166" i="4"/>
  <c r="G166" i="4"/>
  <c r="H166" i="4"/>
  <c r="I166" i="4"/>
  <c r="J166" i="4"/>
  <c r="K166" i="4"/>
  <c r="N166" i="4"/>
  <c r="O166" i="4"/>
  <c r="P166" i="4"/>
  <c r="C167" i="4"/>
  <c r="D167" i="4"/>
  <c r="E167" i="4"/>
  <c r="F167" i="4"/>
  <c r="G167" i="4"/>
  <c r="H167" i="4"/>
  <c r="I167" i="4"/>
  <c r="J167" i="4"/>
  <c r="K167" i="4"/>
  <c r="N167" i="4"/>
  <c r="O167" i="4"/>
  <c r="P167" i="4"/>
  <c r="C168" i="4"/>
  <c r="D168" i="4"/>
  <c r="E168" i="4"/>
  <c r="F168" i="4"/>
  <c r="G168" i="4"/>
  <c r="H168" i="4"/>
  <c r="I168" i="4"/>
  <c r="J168" i="4"/>
  <c r="K168" i="4"/>
  <c r="N168" i="4"/>
  <c r="O168" i="4"/>
  <c r="P168" i="4"/>
  <c r="C169" i="4"/>
  <c r="D169" i="4"/>
  <c r="E169" i="4"/>
  <c r="F169" i="4"/>
  <c r="G169" i="4"/>
  <c r="H169" i="4"/>
  <c r="I169" i="4"/>
  <c r="J169" i="4"/>
  <c r="K169" i="4"/>
  <c r="N169" i="4"/>
  <c r="O169" i="4"/>
  <c r="P169" i="4"/>
  <c r="C170" i="4"/>
  <c r="D170" i="4"/>
  <c r="E170" i="4"/>
  <c r="F170" i="4"/>
  <c r="G170" i="4"/>
  <c r="H170" i="4"/>
  <c r="I170" i="4"/>
  <c r="J170" i="4"/>
  <c r="K170" i="4"/>
  <c r="N170" i="4"/>
  <c r="O170" i="4"/>
  <c r="P170" i="4"/>
  <c r="C171" i="4"/>
  <c r="D171" i="4"/>
  <c r="E171" i="4"/>
  <c r="F171" i="4"/>
  <c r="G171" i="4"/>
  <c r="H171" i="4"/>
  <c r="I171" i="4"/>
  <c r="J171" i="4"/>
  <c r="K171" i="4"/>
  <c r="N171" i="4"/>
  <c r="O171" i="4"/>
  <c r="P171" i="4"/>
  <c r="C172" i="4"/>
  <c r="D172" i="4"/>
  <c r="E172" i="4"/>
  <c r="F172" i="4"/>
  <c r="G172" i="4"/>
  <c r="H172" i="4"/>
  <c r="I172" i="4"/>
  <c r="J172" i="4"/>
  <c r="K172" i="4"/>
  <c r="N172" i="4"/>
  <c r="O172" i="4"/>
  <c r="P172" i="4"/>
  <c r="C173" i="4"/>
  <c r="D173" i="4"/>
  <c r="E173" i="4"/>
  <c r="F173" i="4"/>
  <c r="G173" i="4"/>
  <c r="H173" i="4"/>
  <c r="I173" i="4"/>
  <c r="J173" i="4"/>
  <c r="K173" i="4"/>
  <c r="N173" i="4"/>
  <c r="O173" i="4"/>
  <c r="P173" i="4"/>
  <c r="C174" i="4"/>
  <c r="D174" i="4"/>
  <c r="E174" i="4"/>
  <c r="F174" i="4"/>
  <c r="G174" i="4"/>
  <c r="H174" i="4"/>
  <c r="I174" i="4"/>
  <c r="J174" i="4"/>
  <c r="K174" i="4"/>
  <c r="N174" i="4"/>
  <c r="O174" i="4"/>
  <c r="P174" i="4"/>
  <c r="C175" i="4"/>
  <c r="D175" i="4"/>
  <c r="E175" i="4"/>
  <c r="F175" i="4"/>
  <c r="G175" i="4"/>
  <c r="H175" i="4"/>
  <c r="I175" i="4"/>
  <c r="J175" i="4"/>
  <c r="K175" i="4"/>
  <c r="N175" i="4"/>
  <c r="O175" i="4"/>
  <c r="P175" i="4"/>
  <c r="C176" i="4"/>
  <c r="D176" i="4"/>
  <c r="E176" i="4"/>
  <c r="F176" i="4"/>
  <c r="G176" i="4"/>
  <c r="H176" i="4"/>
  <c r="I176" i="4"/>
  <c r="J176" i="4"/>
  <c r="K176" i="4"/>
  <c r="N176" i="4"/>
  <c r="O176" i="4"/>
  <c r="P176" i="4"/>
  <c r="C177" i="4"/>
  <c r="D177" i="4"/>
  <c r="E177" i="4"/>
  <c r="F177" i="4"/>
  <c r="G177" i="4"/>
  <c r="H177" i="4"/>
  <c r="I177" i="4"/>
  <c r="J177" i="4"/>
  <c r="K177" i="4"/>
  <c r="N177" i="4"/>
  <c r="O177" i="4"/>
  <c r="P177" i="4"/>
  <c r="C178" i="4"/>
  <c r="D178" i="4"/>
  <c r="E178" i="4"/>
  <c r="F178" i="4"/>
  <c r="G178" i="4"/>
  <c r="H178" i="4"/>
  <c r="I178" i="4"/>
  <c r="J178" i="4"/>
  <c r="K178" i="4"/>
  <c r="N178" i="4"/>
  <c r="O178" i="4"/>
  <c r="P178" i="4"/>
  <c r="C179" i="4"/>
  <c r="D179" i="4"/>
  <c r="E179" i="4"/>
  <c r="F179" i="4"/>
  <c r="G179" i="4"/>
  <c r="H179" i="4"/>
  <c r="I179" i="4"/>
  <c r="J179" i="4"/>
  <c r="K179" i="4"/>
  <c r="N179" i="4"/>
  <c r="O179" i="4"/>
  <c r="P179" i="4"/>
  <c r="C180" i="4"/>
  <c r="D180" i="4"/>
  <c r="E180" i="4"/>
  <c r="F180" i="4"/>
  <c r="G180" i="4"/>
  <c r="H180" i="4"/>
  <c r="I180" i="4"/>
  <c r="J180" i="4"/>
  <c r="K180" i="4"/>
  <c r="N180" i="4"/>
  <c r="O180" i="4"/>
  <c r="P180" i="4"/>
  <c r="C181" i="4"/>
  <c r="D181" i="4"/>
  <c r="E181" i="4"/>
  <c r="F181" i="4"/>
  <c r="G181" i="4"/>
  <c r="H181" i="4"/>
  <c r="I181" i="4"/>
  <c r="J181" i="4"/>
  <c r="K181" i="4"/>
  <c r="N181" i="4"/>
  <c r="O181" i="4"/>
  <c r="P181" i="4"/>
  <c r="C182" i="4"/>
  <c r="D182" i="4"/>
  <c r="E182" i="4"/>
  <c r="F182" i="4"/>
  <c r="G182" i="4"/>
  <c r="H182" i="4"/>
  <c r="I182" i="4"/>
  <c r="J182" i="4"/>
  <c r="K182" i="4"/>
  <c r="N182" i="4"/>
  <c r="O182" i="4"/>
  <c r="P182" i="4"/>
  <c r="C183" i="4"/>
  <c r="D183" i="4"/>
  <c r="E183" i="4"/>
  <c r="F183" i="4"/>
  <c r="G183" i="4"/>
  <c r="H183" i="4"/>
  <c r="I183" i="4"/>
  <c r="J183" i="4"/>
  <c r="K183" i="4"/>
  <c r="N183" i="4"/>
  <c r="O183" i="4"/>
  <c r="P183" i="4"/>
  <c r="C184" i="4"/>
  <c r="D184" i="4"/>
  <c r="E184" i="4"/>
  <c r="F184" i="4"/>
  <c r="G184" i="4"/>
  <c r="H184" i="4"/>
  <c r="I184" i="4"/>
  <c r="J184" i="4"/>
  <c r="K184" i="4"/>
  <c r="N184" i="4"/>
  <c r="O184" i="4"/>
  <c r="P184" i="4"/>
  <c r="C185" i="4"/>
  <c r="D185" i="4"/>
  <c r="E185" i="4"/>
  <c r="F185" i="4"/>
  <c r="G185" i="4"/>
  <c r="H185" i="4"/>
  <c r="I185" i="4"/>
  <c r="J185" i="4"/>
  <c r="K185" i="4"/>
  <c r="N185" i="4"/>
  <c r="O185" i="4"/>
  <c r="P185" i="4"/>
  <c r="C186" i="4"/>
  <c r="D186" i="4"/>
  <c r="E186" i="4"/>
  <c r="F186" i="4"/>
  <c r="G186" i="4"/>
  <c r="H186" i="4"/>
  <c r="I186" i="4"/>
  <c r="J186" i="4"/>
  <c r="K186" i="4"/>
  <c r="N186" i="4"/>
  <c r="O186" i="4"/>
  <c r="P186" i="4"/>
  <c r="C187" i="4"/>
  <c r="D187" i="4"/>
  <c r="E187" i="4"/>
  <c r="F187" i="4"/>
  <c r="G187" i="4"/>
  <c r="H187" i="4"/>
  <c r="I187" i="4"/>
  <c r="J187" i="4"/>
  <c r="K187" i="4"/>
  <c r="N187" i="4"/>
  <c r="O187" i="4"/>
  <c r="P187" i="4"/>
  <c r="C188" i="4"/>
  <c r="D188" i="4"/>
  <c r="E188" i="4"/>
  <c r="F188" i="4"/>
  <c r="G188" i="4"/>
  <c r="H188" i="4"/>
  <c r="I188" i="4"/>
  <c r="J188" i="4"/>
  <c r="K188" i="4"/>
  <c r="N188" i="4"/>
  <c r="O188" i="4"/>
  <c r="P188" i="4"/>
  <c r="C189" i="4"/>
  <c r="D189" i="4"/>
  <c r="E189" i="4"/>
  <c r="F189" i="4"/>
  <c r="G189" i="4"/>
  <c r="H189" i="4"/>
  <c r="I189" i="4"/>
  <c r="J189" i="4"/>
  <c r="K189" i="4"/>
  <c r="N189" i="4"/>
  <c r="O189" i="4"/>
  <c r="P189" i="4"/>
  <c r="C190" i="4"/>
  <c r="D190" i="4"/>
  <c r="E190" i="4"/>
  <c r="F190" i="4"/>
  <c r="G190" i="4"/>
  <c r="H190" i="4"/>
  <c r="I190" i="4"/>
  <c r="J190" i="4"/>
  <c r="K190" i="4"/>
  <c r="N190" i="4"/>
  <c r="O190" i="4"/>
  <c r="P190" i="4"/>
  <c r="C191" i="4"/>
  <c r="D191" i="4"/>
  <c r="E191" i="4"/>
  <c r="F191" i="4"/>
  <c r="G191" i="4"/>
  <c r="H191" i="4"/>
  <c r="I191" i="4"/>
  <c r="J191" i="4"/>
  <c r="K191" i="4"/>
  <c r="N191" i="4"/>
  <c r="O191" i="4"/>
  <c r="P191" i="4"/>
  <c r="C192" i="4"/>
  <c r="D192" i="4"/>
  <c r="E192" i="4"/>
  <c r="F192" i="4"/>
  <c r="G192" i="4"/>
  <c r="H192" i="4"/>
  <c r="I192" i="4"/>
  <c r="J192" i="4"/>
  <c r="K192" i="4"/>
  <c r="N192" i="4"/>
  <c r="O192" i="4"/>
  <c r="P192" i="4"/>
  <c r="C193" i="4"/>
  <c r="D193" i="4"/>
  <c r="E193" i="4"/>
  <c r="F193" i="4"/>
  <c r="G193" i="4"/>
  <c r="H193" i="4"/>
  <c r="I193" i="4"/>
  <c r="J193" i="4"/>
  <c r="K193" i="4"/>
  <c r="N193" i="4"/>
  <c r="O193" i="4"/>
  <c r="P193" i="4"/>
  <c r="C194" i="4"/>
  <c r="D194" i="4"/>
  <c r="E194" i="4"/>
  <c r="F194" i="4"/>
  <c r="G194" i="4"/>
  <c r="H194" i="4"/>
  <c r="I194" i="4"/>
  <c r="J194" i="4"/>
  <c r="K194" i="4"/>
  <c r="N194" i="4"/>
  <c r="O194" i="4"/>
  <c r="P194" i="4"/>
  <c r="C195" i="4"/>
  <c r="D195" i="4"/>
  <c r="E195" i="4"/>
  <c r="F195" i="4"/>
  <c r="G195" i="4"/>
  <c r="H195" i="4"/>
  <c r="I195" i="4"/>
  <c r="J195" i="4"/>
  <c r="K195" i="4"/>
  <c r="N195" i="4"/>
  <c r="O195" i="4"/>
  <c r="P195" i="4"/>
  <c r="C196" i="4"/>
  <c r="D196" i="4"/>
  <c r="E196" i="4"/>
  <c r="F196" i="4"/>
  <c r="G196" i="4"/>
  <c r="H196" i="4"/>
  <c r="I196" i="4"/>
  <c r="J196" i="4"/>
  <c r="K196" i="4"/>
  <c r="N196" i="4"/>
  <c r="O196" i="4"/>
  <c r="P196" i="4"/>
  <c r="C197" i="4"/>
  <c r="D197" i="4"/>
  <c r="E197" i="4"/>
  <c r="F197" i="4"/>
  <c r="G197" i="4"/>
  <c r="H197" i="4"/>
  <c r="I197" i="4"/>
  <c r="J197" i="4"/>
  <c r="K197" i="4"/>
  <c r="N197" i="4"/>
  <c r="O197" i="4"/>
  <c r="P197" i="4"/>
  <c r="C198" i="4"/>
  <c r="D198" i="4"/>
  <c r="E198" i="4"/>
  <c r="F198" i="4"/>
  <c r="G198" i="4"/>
  <c r="H198" i="4"/>
  <c r="I198" i="4"/>
  <c r="J198" i="4"/>
  <c r="K198" i="4"/>
  <c r="N198" i="4"/>
  <c r="O198" i="4"/>
  <c r="P198" i="4"/>
  <c r="C199" i="4"/>
  <c r="D199" i="4"/>
  <c r="E199" i="4"/>
  <c r="F199" i="4"/>
  <c r="G199" i="4"/>
  <c r="H199" i="4"/>
  <c r="I199" i="4"/>
  <c r="J199" i="4"/>
  <c r="K199" i="4"/>
  <c r="N199" i="4"/>
  <c r="O199" i="4"/>
  <c r="P199" i="4"/>
  <c r="C200" i="4"/>
  <c r="D200" i="4"/>
  <c r="E200" i="4"/>
  <c r="F200" i="4"/>
  <c r="G200" i="4"/>
  <c r="H200" i="4"/>
  <c r="I200" i="4"/>
  <c r="J200" i="4"/>
  <c r="K200" i="4"/>
  <c r="N200" i="4"/>
  <c r="O200" i="4"/>
  <c r="P200" i="4"/>
  <c r="C201" i="4"/>
  <c r="D201" i="4"/>
  <c r="E201" i="4"/>
  <c r="F201" i="4"/>
  <c r="G201" i="4"/>
  <c r="H201" i="4"/>
  <c r="I201" i="4"/>
  <c r="J201" i="4"/>
  <c r="K201" i="4"/>
  <c r="N201" i="4"/>
  <c r="O201" i="4"/>
  <c r="P201" i="4"/>
  <c r="C202" i="4"/>
  <c r="D202" i="4"/>
  <c r="E202" i="4"/>
  <c r="F202" i="4"/>
  <c r="G202" i="4"/>
  <c r="H202" i="4"/>
  <c r="I202" i="4"/>
  <c r="J202" i="4"/>
  <c r="K202" i="4"/>
  <c r="N202" i="4"/>
  <c r="O202" i="4"/>
  <c r="P202" i="4"/>
  <c r="C203" i="4"/>
  <c r="D203" i="4"/>
  <c r="E203" i="4"/>
  <c r="F203" i="4"/>
  <c r="G203" i="4"/>
  <c r="H203" i="4"/>
  <c r="I203" i="4"/>
  <c r="J203" i="4"/>
  <c r="K203" i="4"/>
  <c r="N203" i="4"/>
  <c r="O203" i="4"/>
  <c r="P203" i="4"/>
  <c r="C204" i="4"/>
  <c r="D204" i="4"/>
  <c r="E204" i="4"/>
  <c r="F204" i="4"/>
  <c r="G204" i="4"/>
  <c r="H204" i="4"/>
  <c r="I204" i="4"/>
  <c r="J204" i="4"/>
  <c r="K204" i="4"/>
  <c r="N204" i="4"/>
  <c r="O204" i="4"/>
  <c r="P204" i="4"/>
  <c r="C205" i="4"/>
  <c r="D205" i="4"/>
  <c r="E205" i="4"/>
  <c r="F205" i="4"/>
  <c r="G205" i="4"/>
  <c r="H205" i="4"/>
  <c r="I205" i="4"/>
  <c r="J205" i="4"/>
  <c r="K205" i="4"/>
  <c r="N205" i="4"/>
  <c r="O205" i="4"/>
  <c r="P205" i="4"/>
  <c r="C206" i="4"/>
  <c r="D206" i="4"/>
  <c r="E206" i="4"/>
  <c r="F206" i="4"/>
  <c r="G206" i="4"/>
  <c r="H206" i="4"/>
  <c r="I206" i="4"/>
  <c r="J206" i="4"/>
  <c r="K206" i="4"/>
  <c r="N206" i="4"/>
  <c r="O206" i="4"/>
  <c r="P206" i="4"/>
  <c r="C207" i="4"/>
  <c r="D207" i="4"/>
  <c r="E207" i="4"/>
  <c r="F207" i="4"/>
  <c r="G207" i="4"/>
  <c r="H207" i="4"/>
  <c r="I207" i="4"/>
  <c r="J207" i="4"/>
  <c r="K207" i="4"/>
  <c r="N207" i="4"/>
  <c r="O207" i="4"/>
  <c r="P207" i="4"/>
  <c r="C208" i="4"/>
  <c r="D208" i="4"/>
  <c r="E208" i="4"/>
  <c r="F208" i="4"/>
  <c r="G208" i="4"/>
  <c r="H208" i="4"/>
  <c r="I208" i="4"/>
  <c r="J208" i="4"/>
  <c r="K208" i="4"/>
  <c r="N208" i="4"/>
  <c r="O208" i="4"/>
  <c r="P208" i="4"/>
  <c r="C209" i="4"/>
  <c r="D209" i="4"/>
  <c r="E209" i="4"/>
  <c r="F209" i="4"/>
  <c r="G209" i="4"/>
  <c r="H209" i="4"/>
  <c r="I209" i="4"/>
  <c r="J209" i="4"/>
  <c r="K209" i="4"/>
  <c r="N209" i="4"/>
  <c r="O209" i="4"/>
  <c r="P209" i="4"/>
  <c r="C210" i="4"/>
  <c r="D210" i="4"/>
  <c r="E210" i="4"/>
  <c r="F210" i="4"/>
  <c r="G210" i="4"/>
  <c r="H210" i="4"/>
  <c r="I210" i="4"/>
  <c r="J210" i="4"/>
  <c r="K210" i="4"/>
  <c r="N210" i="4"/>
  <c r="O210" i="4"/>
  <c r="P210" i="4"/>
  <c r="C211" i="4"/>
  <c r="D211" i="4"/>
  <c r="E211" i="4"/>
  <c r="F211" i="4"/>
  <c r="G211" i="4"/>
  <c r="H211" i="4"/>
  <c r="I211" i="4"/>
  <c r="J211" i="4"/>
  <c r="K211" i="4"/>
  <c r="N211" i="4"/>
  <c r="O211" i="4"/>
  <c r="P211" i="4"/>
  <c r="C212" i="4"/>
  <c r="D212" i="4"/>
  <c r="E212" i="4"/>
  <c r="F212" i="4"/>
  <c r="G212" i="4"/>
  <c r="H212" i="4"/>
  <c r="I212" i="4"/>
  <c r="J212" i="4"/>
  <c r="K212" i="4"/>
  <c r="N212" i="4"/>
  <c r="O212" i="4"/>
  <c r="P212" i="4"/>
  <c r="C213" i="4"/>
  <c r="D213" i="4"/>
  <c r="E213" i="4"/>
  <c r="F213" i="4"/>
  <c r="G213" i="4"/>
  <c r="H213" i="4"/>
  <c r="I213" i="4"/>
  <c r="J213" i="4"/>
  <c r="K213" i="4"/>
  <c r="N213" i="4"/>
  <c r="O213" i="4"/>
  <c r="P213" i="4"/>
  <c r="C214" i="4"/>
  <c r="D214" i="4"/>
  <c r="E214" i="4"/>
  <c r="F214" i="4"/>
  <c r="G214" i="4"/>
  <c r="H214" i="4"/>
  <c r="I214" i="4"/>
  <c r="J214" i="4"/>
  <c r="K214" i="4"/>
  <c r="N214" i="4"/>
  <c r="O214" i="4"/>
  <c r="P214" i="4"/>
  <c r="C215" i="4"/>
  <c r="D215" i="4"/>
  <c r="E215" i="4"/>
  <c r="F215" i="4"/>
  <c r="G215" i="4"/>
  <c r="H215" i="4"/>
  <c r="I215" i="4"/>
  <c r="J215" i="4"/>
  <c r="K215" i="4"/>
  <c r="N215" i="4"/>
  <c r="O215" i="4"/>
  <c r="P215" i="4"/>
  <c r="C216" i="4"/>
  <c r="D216" i="4"/>
  <c r="E216" i="4"/>
  <c r="F216" i="4"/>
  <c r="G216" i="4"/>
  <c r="H216" i="4"/>
  <c r="I216" i="4"/>
  <c r="J216" i="4"/>
  <c r="K216" i="4"/>
  <c r="N216" i="4"/>
  <c r="O216" i="4"/>
  <c r="P216" i="4"/>
  <c r="C217" i="4"/>
  <c r="D217" i="4"/>
  <c r="E217" i="4"/>
  <c r="F217" i="4"/>
  <c r="G217" i="4"/>
  <c r="H217" i="4"/>
  <c r="I217" i="4"/>
  <c r="J217" i="4"/>
  <c r="K217" i="4"/>
  <c r="N217" i="4"/>
  <c r="O217" i="4"/>
  <c r="P217" i="4"/>
  <c r="C218" i="4"/>
  <c r="D218" i="4"/>
  <c r="E218" i="4"/>
  <c r="F218" i="4"/>
  <c r="G218" i="4"/>
  <c r="H218" i="4"/>
  <c r="I218" i="4"/>
  <c r="J218" i="4"/>
  <c r="K218" i="4"/>
  <c r="N218" i="4"/>
  <c r="O218" i="4"/>
  <c r="P218" i="4"/>
  <c r="C219" i="4"/>
  <c r="D219" i="4"/>
  <c r="E219" i="4"/>
  <c r="F219" i="4"/>
  <c r="G219" i="4"/>
  <c r="H219" i="4"/>
  <c r="I219" i="4"/>
  <c r="J219" i="4"/>
  <c r="K219" i="4"/>
  <c r="N219" i="4"/>
  <c r="O219" i="4"/>
  <c r="P219" i="4"/>
  <c r="C220" i="4"/>
  <c r="D220" i="4"/>
  <c r="E220" i="4"/>
  <c r="F220" i="4"/>
  <c r="G220" i="4"/>
  <c r="H220" i="4"/>
  <c r="I220" i="4"/>
  <c r="J220" i="4"/>
  <c r="K220" i="4"/>
  <c r="N220" i="4"/>
  <c r="O220" i="4"/>
  <c r="P220" i="4"/>
  <c r="C221" i="4"/>
  <c r="D221" i="4"/>
  <c r="E221" i="4"/>
  <c r="F221" i="4"/>
  <c r="G221" i="4"/>
  <c r="H221" i="4"/>
  <c r="I221" i="4"/>
  <c r="J221" i="4"/>
  <c r="K221" i="4"/>
  <c r="N221" i="4"/>
  <c r="O221" i="4"/>
  <c r="P221" i="4"/>
  <c r="C222" i="4"/>
  <c r="D222" i="4"/>
  <c r="E222" i="4"/>
  <c r="F222" i="4"/>
  <c r="G222" i="4"/>
  <c r="H222" i="4"/>
  <c r="I222" i="4"/>
  <c r="J222" i="4"/>
  <c r="K222" i="4"/>
  <c r="N222" i="4"/>
  <c r="O222" i="4"/>
  <c r="P222" i="4"/>
  <c r="C223" i="4"/>
  <c r="D223" i="4"/>
  <c r="E223" i="4"/>
  <c r="F223" i="4"/>
  <c r="G223" i="4"/>
  <c r="H223" i="4"/>
  <c r="I223" i="4"/>
  <c r="J223" i="4"/>
  <c r="K223" i="4"/>
  <c r="N223" i="4"/>
  <c r="O223" i="4"/>
  <c r="P223" i="4"/>
  <c r="C224" i="4"/>
  <c r="D224" i="4"/>
  <c r="E224" i="4"/>
  <c r="F224" i="4"/>
  <c r="G224" i="4"/>
  <c r="H224" i="4"/>
  <c r="I224" i="4"/>
  <c r="J224" i="4"/>
  <c r="K224" i="4"/>
  <c r="N224" i="4"/>
  <c r="O224" i="4"/>
  <c r="P224" i="4"/>
  <c r="C225" i="4"/>
  <c r="D225" i="4"/>
  <c r="E225" i="4"/>
  <c r="F225" i="4"/>
  <c r="G225" i="4"/>
  <c r="H225" i="4"/>
  <c r="I225" i="4"/>
  <c r="J225" i="4"/>
  <c r="K225" i="4"/>
  <c r="N225" i="4"/>
  <c r="O225" i="4"/>
  <c r="P225" i="4"/>
  <c r="C226" i="4"/>
  <c r="D226" i="4"/>
  <c r="E226" i="4"/>
  <c r="F226" i="4"/>
  <c r="G226" i="4"/>
  <c r="H226" i="4"/>
  <c r="I226" i="4"/>
  <c r="J226" i="4"/>
  <c r="K226" i="4"/>
  <c r="N226" i="4"/>
  <c r="O226" i="4"/>
  <c r="P226" i="4"/>
  <c r="C227" i="4"/>
  <c r="D227" i="4"/>
  <c r="E227" i="4"/>
  <c r="F227" i="4"/>
  <c r="G227" i="4"/>
  <c r="H227" i="4"/>
  <c r="I227" i="4"/>
  <c r="J227" i="4"/>
  <c r="K227" i="4"/>
  <c r="N227" i="4"/>
  <c r="O227" i="4"/>
  <c r="P227" i="4"/>
  <c r="C228" i="4"/>
  <c r="D228" i="4"/>
  <c r="E228" i="4"/>
  <c r="F228" i="4"/>
  <c r="G228" i="4"/>
  <c r="H228" i="4"/>
  <c r="I228" i="4"/>
  <c r="J228" i="4"/>
  <c r="K228" i="4"/>
  <c r="N228" i="4"/>
  <c r="O228" i="4"/>
  <c r="P228" i="4"/>
  <c r="C229" i="4"/>
  <c r="D229" i="4"/>
  <c r="E229" i="4"/>
  <c r="F229" i="4"/>
  <c r="G229" i="4"/>
  <c r="H229" i="4"/>
  <c r="I229" i="4"/>
  <c r="J229" i="4"/>
  <c r="K229" i="4"/>
  <c r="N229" i="4"/>
  <c r="O229" i="4"/>
  <c r="P229" i="4"/>
  <c r="C230" i="4"/>
  <c r="D230" i="4"/>
  <c r="E230" i="4"/>
  <c r="F230" i="4"/>
  <c r="G230" i="4"/>
  <c r="H230" i="4"/>
  <c r="I230" i="4"/>
  <c r="J230" i="4"/>
  <c r="K230" i="4"/>
  <c r="N230" i="4"/>
  <c r="O230" i="4"/>
  <c r="P230" i="4"/>
  <c r="C231" i="4"/>
  <c r="D231" i="4"/>
  <c r="E231" i="4"/>
  <c r="F231" i="4"/>
  <c r="G231" i="4"/>
  <c r="H231" i="4"/>
  <c r="I231" i="4"/>
  <c r="J231" i="4"/>
  <c r="K231" i="4"/>
  <c r="N231" i="4"/>
  <c r="O231" i="4"/>
  <c r="P231" i="4"/>
  <c r="C232" i="4"/>
  <c r="D232" i="4"/>
  <c r="E232" i="4"/>
  <c r="F232" i="4"/>
  <c r="G232" i="4"/>
  <c r="H232" i="4"/>
  <c r="I232" i="4"/>
  <c r="J232" i="4"/>
  <c r="K232" i="4"/>
  <c r="N232" i="4"/>
  <c r="O232" i="4"/>
  <c r="P232" i="4"/>
  <c r="C233" i="4"/>
  <c r="D233" i="4"/>
  <c r="E233" i="4"/>
  <c r="F233" i="4"/>
  <c r="G233" i="4"/>
  <c r="H233" i="4"/>
  <c r="I233" i="4"/>
  <c r="J233" i="4"/>
  <c r="K233" i="4"/>
  <c r="N233" i="4"/>
  <c r="O233" i="4"/>
  <c r="P233" i="4"/>
  <c r="C234" i="4"/>
  <c r="D234" i="4"/>
  <c r="E234" i="4"/>
  <c r="F234" i="4"/>
  <c r="G234" i="4"/>
  <c r="H234" i="4"/>
  <c r="I234" i="4"/>
  <c r="J234" i="4"/>
  <c r="K234" i="4"/>
  <c r="N234" i="4"/>
  <c r="O234" i="4"/>
  <c r="P234" i="4"/>
  <c r="C235" i="4"/>
  <c r="D235" i="4"/>
  <c r="E235" i="4"/>
  <c r="F235" i="4"/>
  <c r="G235" i="4"/>
  <c r="H235" i="4"/>
  <c r="I235" i="4"/>
  <c r="J235" i="4"/>
  <c r="K235" i="4"/>
  <c r="N235" i="4"/>
  <c r="O235" i="4"/>
  <c r="P235" i="4"/>
  <c r="C236" i="4"/>
  <c r="D236" i="4"/>
  <c r="E236" i="4"/>
  <c r="F236" i="4"/>
  <c r="G236" i="4"/>
  <c r="H236" i="4"/>
  <c r="I236" i="4"/>
  <c r="J236" i="4"/>
  <c r="K236" i="4"/>
  <c r="N236" i="4"/>
  <c r="O236" i="4"/>
  <c r="P236" i="4"/>
  <c r="C237" i="4"/>
  <c r="D237" i="4"/>
  <c r="E237" i="4"/>
  <c r="F237" i="4"/>
  <c r="G237" i="4"/>
  <c r="H237" i="4"/>
  <c r="I237" i="4"/>
  <c r="J237" i="4"/>
  <c r="K237" i="4"/>
  <c r="N237" i="4"/>
  <c r="O237" i="4"/>
  <c r="P237" i="4"/>
  <c r="C238" i="4"/>
  <c r="D238" i="4"/>
  <c r="E238" i="4"/>
  <c r="F238" i="4"/>
  <c r="G238" i="4"/>
  <c r="H238" i="4"/>
  <c r="I238" i="4"/>
  <c r="J238" i="4"/>
  <c r="K238" i="4"/>
  <c r="N238" i="4"/>
  <c r="O238" i="4"/>
  <c r="P238" i="4"/>
  <c r="C239" i="4"/>
  <c r="D239" i="4"/>
  <c r="E239" i="4"/>
  <c r="F239" i="4"/>
  <c r="G239" i="4"/>
  <c r="H239" i="4"/>
  <c r="I239" i="4"/>
  <c r="J239" i="4"/>
  <c r="K239" i="4"/>
  <c r="N239" i="4"/>
  <c r="O239" i="4"/>
  <c r="P239" i="4"/>
  <c r="C240" i="4"/>
  <c r="D240" i="4"/>
  <c r="E240" i="4"/>
  <c r="F240" i="4"/>
  <c r="G240" i="4"/>
  <c r="H240" i="4"/>
  <c r="I240" i="4"/>
  <c r="J240" i="4"/>
  <c r="K240" i="4"/>
  <c r="N240" i="4"/>
  <c r="O240" i="4"/>
  <c r="P240" i="4"/>
  <c r="C241" i="4"/>
  <c r="D241" i="4"/>
  <c r="E241" i="4"/>
  <c r="F241" i="4"/>
  <c r="G241" i="4"/>
  <c r="H241" i="4"/>
  <c r="I241" i="4"/>
  <c r="J241" i="4"/>
  <c r="K241" i="4"/>
  <c r="N241" i="4"/>
  <c r="O241" i="4"/>
  <c r="P241" i="4"/>
  <c r="C242" i="4"/>
  <c r="D242" i="4"/>
  <c r="E242" i="4"/>
  <c r="F242" i="4"/>
  <c r="G242" i="4"/>
  <c r="H242" i="4"/>
  <c r="I242" i="4"/>
  <c r="J242" i="4"/>
  <c r="K242" i="4"/>
  <c r="N242" i="4"/>
  <c r="O242" i="4"/>
  <c r="P242" i="4"/>
  <c r="C243" i="4"/>
  <c r="D243" i="4"/>
  <c r="E243" i="4"/>
  <c r="F243" i="4"/>
  <c r="G243" i="4"/>
  <c r="H243" i="4"/>
  <c r="I243" i="4"/>
  <c r="J243" i="4"/>
  <c r="K243" i="4"/>
  <c r="N243" i="4"/>
  <c r="O243" i="4"/>
  <c r="P243" i="4"/>
  <c r="C244" i="4"/>
  <c r="D244" i="4"/>
  <c r="E244" i="4"/>
  <c r="F244" i="4"/>
  <c r="G244" i="4"/>
  <c r="H244" i="4"/>
  <c r="I244" i="4"/>
  <c r="J244" i="4"/>
  <c r="K244" i="4"/>
  <c r="N244" i="4"/>
  <c r="O244" i="4"/>
  <c r="P244" i="4"/>
  <c r="C245" i="4"/>
  <c r="D245" i="4"/>
  <c r="E245" i="4"/>
  <c r="F245" i="4"/>
  <c r="G245" i="4"/>
  <c r="H245" i="4"/>
  <c r="I245" i="4"/>
  <c r="J245" i="4"/>
  <c r="K245" i="4"/>
  <c r="N245" i="4"/>
  <c r="O245" i="4"/>
  <c r="P245" i="4"/>
  <c r="C246" i="4"/>
  <c r="D246" i="4"/>
  <c r="E246" i="4"/>
  <c r="F246" i="4"/>
  <c r="G246" i="4"/>
  <c r="H246" i="4"/>
  <c r="I246" i="4"/>
  <c r="J246" i="4"/>
  <c r="K246" i="4"/>
  <c r="N246" i="4"/>
  <c r="O246" i="4"/>
  <c r="P246" i="4"/>
  <c r="C247" i="4"/>
  <c r="D247" i="4"/>
  <c r="E247" i="4"/>
  <c r="F247" i="4"/>
  <c r="G247" i="4"/>
  <c r="H247" i="4"/>
  <c r="I247" i="4"/>
  <c r="J247" i="4"/>
  <c r="K247" i="4"/>
  <c r="N247" i="4"/>
  <c r="O247" i="4"/>
  <c r="P247" i="4"/>
  <c r="C248" i="4"/>
  <c r="D248" i="4"/>
  <c r="E248" i="4"/>
  <c r="F248" i="4"/>
  <c r="G248" i="4"/>
  <c r="H248" i="4"/>
  <c r="I248" i="4"/>
  <c r="J248" i="4"/>
  <c r="K248" i="4"/>
  <c r="N248" i="4"/>
  <c r="O248" i="4"/>
  <c r="P248" i="4"/>
  <c r="C249" i="4"/>
  <c r="D249" i="4"/>
  <c r="E249" i="4"/>
  <c r="F249" i="4"/>
  <c r="G249" i="4"/>
  <c r="H249" i="4"/>
  <c r="I249" i="4"/>
  <c r="J249" i="4"/>
  <c r="K249" i="4"/>
  <c r="N249" i="4"/>
  <c r="O249" i="4"/>
  <c r="P249" i="4"/>
  <c r="C250" i="4"/>
  <c r="D250" i="4"/>
  <c r="E250" i="4"/>
  <c r="F250" i="4"/>
  <c r="G250" i="4"/>
  <c r="H250" i="4"/>
  <c r="I250" i="4"/>
  <c r="J250" i="4"/>
  <c r="K250" i="4"/>
  <c r="N250" i="4"/>
  <c r="O250" i="4"/>
  <c r="P250" i="4"/>
  <c r="C251" i="4"/>
  <c r="D251" i="4"/>
  <c r="E251" i="4"/>
  <c r="F251" i="4"/>
  <c r="G251" i="4"/>
  <c r="H251" i="4"/>
  <c r="I251" i="4"/>
  <c r="J251" i="4"/>
  <c r="K251" i="4"/>
  <c r="N251" i="4"/>
  <c r="O251" i="4"/>
  <c r="P251" i="4"/>
  <c r="C252" i="4"/>
  <c r="D252" i="4"/>
  <c r="E252" i="4"/>
  <c r="F252" i="4"/>
  <c r="G252" i="4"/>
  <c r="H252" i="4"/>
  <c r="I252" i="4"/>
  <c r="J252" i="4"/>
  <c r="K252" i="4"/>
  <c r="N252" i="4"/>
  <c r="O252" i="4"/>
  <c r="P252" i="4"/>
  <c r="C253" i="4"/>
  <c r="D253" i="4"/>
  <c r="E253" i="4"/>
  <c r="F253" i="4"/>
  <c r="G253" i="4"/>
  <c r="H253" i="4"/>
  <c r="I253" i="4"/>
  <c r="J253" i="4"/>
  <c r="K253" i="4"/>
  <c r="N253" i="4"/>
  <c r="O253" i="4"/>
  <c r="P253" i="4"/>
  <c r="C254" i="4"/>
  <c r="D254" i="4"/>
  <c r="E254" i="4"/>
  <c r="F254" i="4"/>
  <c r="G254" i="4"/>
  <c r="H254" i="4"/>
  <c r="I254" i="4"/>
  <c r="J254" i="4"/>
  <c r="K254" i="4"/>
  <c r="N254" i="4"/>
  <c r="O254" i="4"/>
  <c r="P254" i="4"/>
  <c r="C255" i="4"/>
  <c r="D255" i="4"/>
  <c r="E255" i="4"/>
  <c r="F255" i="4"/>
  <c r="G255" i="4"/>
  <c r="H255" i="4"/>
  <c r="I255" i="4"/>
  <c r="J255" i="4"/>
  <c r="K255" i="4"/>
  <c r="N255" i="4"/>
  <c r="O255" i="4"/>
  <c r="P255" i="4"/>
  <c r="C256" i="4"/>
  <c r="D256" i="4"/>
  <c r="E256" i="4"/>
  <c r="F256" i="4"/>
  <c r="G256" i="4"/>
  <c r="H256" i="4"/>
  <c r="I256" i="4"/>
  <c r="J256" i="4"/>
  <c r="K256" i="4"/>
  <c r="N256" i="4"/>
  <c r="O256" i="4"/>
  <c r="P256" i="4"/>
  <c r="C257" i="4"/>
  <c r="D257" i="4"/>
  <c r="E257" i="4"/>
  <c r="F257" i="4"/>
  <c r="G257" i="4"/>
  <c r="H257" i="4"/>
  <c r="I257" i="4"/>
  <c r="J257" i="4"/>
  <c r="K257" i="4"/>
  <c r="N257" i="4"/>
  <c r="O257" i="4"/>
  <c r="P257" i="4"/>
  <c r="C258" i="4"/>
  <c r="D258" i="4"/>
  <c r="E258" i="4"/>
  <c r="F258" i="4"/>
  <c r="G258" i="4"/>
  <c r="H258" i="4"/>
  <c r="I258" i="4"/>
  <c r="J258" i="4"/>
  <c r="K258" i="4"/>
  <c r="N258" i="4"/>
  <c r="O258" i="4"/>
  <c r="P258" i="4"/>
  <c r="C259" i="4"/>
  <c r="D259" i="4"/>
  <c r="E259" i="4"/>
  <c r="F259" i="4"/>
  <c r="G259" i="4"/>
  <c r="H259" i="4"/>
  <c r="I259" i="4"/>
  <c r="J259" i="4"/>
  <c r="K259" i="4"/>
  <c r="N259" i="4"/>
  <c r="O259" i="4"/>
  <c r="P259" i="4"/>
  <c r="C260" i="4"/>
  <c r="D260" i="4"/>
  <c r="E260" i="4"/>
  <c r="F260" i="4"/>
  <c r="G260" i="4"/>
  <c r="H260" i="4"/>
  <c r="I260" i="4"/>
  <c r="J260" i="4"/>
  <c r="K260" i="4"/>
  <c r="N260" i="4"/>
  <c r="O260" i="4"/>
  <c r="P260" i="4"/>
  <c r="C261" i="4"/>
  <c r="D261" i="4"/>
  <c r="E261" i="4"/>
  <c r="F261" i="4"/>
  <c r="G261" i="4"/>
  <c r="H261" i="4"/>
  <c r="I261" i="4"/>
  <c r="J261" i="4"/>
  <c r="K261" i="4"/>
  <c r="N261" i="4"/>
  <c r="O261" i="4"/>
  <c r="P261" i="4"/>
  <c r="C262" i="4"/>
  <c r="D262" i="4"/>
  <c r="E262" i="4"/>
  <c r="F262" i="4"/>
  <c r="G262" i="4"/>
  <c r="H262" i="4"/>
  <c r="I262" i="4"/>
  <c r="J262" i="4"/>
  <c r="K262" i="4"/>
  <c r="N262" i="4"/>
  <c r="O262" i="4"/>
  <c r="P262" i="4"/>
  <c r="C263" i="4"/>
  <c r="D263" i="4"/>
  <c r="E263" i="4"/>
  <c r="F263" i="4"/>
  <c r="G263" i="4"/>
  <c r="H263" i="4"/>
  <c r="I263" i="4"/>
  <c r="J263" i="4"/>
  <c r="K263" i="4"/>
  <c r="N263" i="4"/>
  <c r="O263" i="4"/>
  <c r="P263" i="4"/>
  <c r="C264" i="4"/>
  <c r="D264" i="4"/>
  <c r="E264" i="4"/>
  <c r="F264" i="4"/>
  <c r="G264" i="4"/>
  <c r="H264" i="4"/>
  <c r="I264" i="4"/>
  <c r="J264" i="4"/>
  <c r="K264" i="4"/>
  <c r="N264" i="4"/>
  <c r="O264" i="4"/>
  <c r="P264" i="4"/>
  <c r="C265" i="4"/>
  <c r="D265" i="4"/>
  <c r="E265" i="4"/>
  <c r="F265" i="4"/>
  <c r="G265" i="4"/>
  <c r="H265" i="4"/>
  <c r="I265" i="4"/>
  <c r="J265" i="4"/>
  <c r="K265" i="4"/>
  <c r="N265" i="4"/>
  <c r="O265" i="4"/>
  <c r="P265" i="4"/>
  <c r="C266" i="4"/>
  <c r="D266" i="4"/>
  <c r="E266" i="4"/>
  <c r="F266" i="4"/>
  <c r="G266" i="4"/>
  <c r="H266" i="4"/>
  <c r="I266" i="4"/>
  <c r="J266" i="4"/>
  <c r="K266" i="4"/>
  <c r="N266" i="4"/>
  <c r="O266" i="4"/>
  <c r="P266" i="4"/>
  <c r="C267" i="4"/>
  <c r="D267" i="4"/>
  <c r="E267" i="4"/>
  <c r="F267" i="4"/>
  <c r="G267" i="4"/>
  <c r="H267" i="4"/>
  <c r="I267" i="4"/>
  <c r="J267" i="4"/>
  <c r="K267" i="4"/>
  <c r="N267" i="4"/>
  <c r="O267" i="4"/>
  <c r="P267" i="4"/>
  <c r="C268" i="4"/>
  <c r="D268" i="4"/>
  <c r="E268" i="4"/>
  <c r="F268" i="4"/>
  <c r="G268" i="4"/>
  <c r="H268" i="4"/>
  <c r="I268" i="4"/>
  <c r="J268" i="4"/>
  <c r="K268" i="4"/>
  <c r="N268" i="4"/>
  <c r="O268" i="4"/>
  <c r="P268" i="4"/>
  <c r="C269" i="4"/>
  <c r="D269" i="4"/>
  <c r="E269" i="4"/>
  <c r="F269" i="4"/>
  <c r="G269" i="4"/>
  <c r="H269" i="4"/>
  <c r="I269" i="4"/>
  <c r="J269" i="4"/>
  <c r="K269" i="4"/>
  <c r="N269" i="4"/>
  <c r="O269" i="4"/>
  <c r="P269" i="4"/>
  <c r="C270" i="4"/>
  <c r="D270" i="4"/>
  <c r="E270" i="4"/>
  <c r="F270" i="4"/>
  <c r="G270" i="4"/>
  <c r="H270" i="4"/>
  <c r="I270" i="4"/>
  <c r="J270" i="4"/>
  <c r="K270" i="4"/>
  <c r="N270" i="4"/>
  <c r="O270" i="4"/>
  <c r="P270" i="4"/>
  <c r="C271" i="4"/>
  <c r="D271" i="4"/>
  <c r="E271" i="4"/>
  <c r="F271" i="4"/>
  <c r="G271" i="4"/>
  <c r="H271" i="4"/>
  <c r="I271" i="4"/>
  <c r="J271" i="4"/>
  <c r="K271" i="4"/>
  <c r="N271" i="4"/>
  <c r="O271" i="4"/>
  <c r="P271" i="4"/>
  <c r="C272" i="4"/>
  <c r="D272" i="4"/>
  <c r="E272" i="4"/>
  <c r="F272" i="4"/>
  <c r="G272" i="4"/>
  <c r="H272" i="4"/>
  <c r="I272" i="4"/>
  <c r="J272" i="4"/>
  <c r="K272" i="4"/>
  <c r="N272" i="4"/>
  <c r="O272" i="4"/>
  <c r="P272" i="4"/>
  <c r="C273" i="4"/>
  <c r="D273" i="4"/>
  <c r="E273" i="4"/>
  <c r="F273" i="4"/>
  <c r="G273" i="4"/>
  <c r="H273" i="4"/>
  <c r="I273" i="4"/>
  <c r="J273" i="4"/>
  <c r="K273" i="4"/>
  <c r="N273" i="4"/>
  <c r="O273" i="4"/>
  <c r="P273" i="4"/>
  <c r="C274" i="4"/>
  <c r="D274" i="4"/>
  <c r="E274" i="4"/>
  <c r="F274" i="4"/>
  <c r="G274" i="4"/>
  <c r="H274" i="4"/>
  <c r="I274" i="4"/>
  <c r="J274" i="4"/>
  <c r="K274" i="4"/>
  <c r="N274" i="4"/>
  <c r="O274" i="4"/>
  <c r="P274" i="4"/>
  <c r="C275" i="4"/>
  <c r="D275" i="4"/>
  <c r="E275" i="4"/>
  <c r="F275" i="4"/>
  <c r="G275" i="4"/>
  <c r="H275" i="4"/>
  <c r="I275" i="4"/>
  <c r="J275" i="4"/>
  <c r="K275" i="4"/>
  <c r="N275" i="4"/>
  <c r="O275" i="4"/>
  <c r="P275" i="4"/>
  <c r="C276" i="4"/>
  <c r="D276" i="4"/>
  <c r="E276" i="4"/>
  <c r="F276" i="4"/>
  <c r="G276" i="4"/>
  <c r="H276" i="4"/>
  <c r="I276" i="4"/>
  <c r="J276" i="4"/>
  <c r="K276" i="4"/>
  <c r="N276" i="4"/>
  <c r="O276" i="4"/>
  <c r="P276" i="4"/>
  <c r="C277" i="4"/>
  <c r="D277" i="4"/>
  <c r="E277" i="4"/>
  <c r="F277" i="4"/>
  <c r="G277" i="4"/>
  <c r="H277" i="4"/>
  <c r="I277" i="4"/>
  <c r="J277" i="4"/>
  <c r="K277" i="4"/>
  <c r="N277" i="4"/>
  <c r="O277" i="4"/>
  <c r="P277" i="4"/>
  <c r="C278" i="4"/>
  <c r="D278" i="4"/>
  <c r="E278" i="4"/>
  <c r="F278" i="4"/>
  <c r="G278" i="4"/>
  <c r="H278" i="4"/>
  <c r="I278" i="4"/>
  <c r="J278" i="4"/>
  <c r="K278" i="4"/>
  <c r="N278" i="4"/>
  <c r="O278" i="4"/>
  <c r="P278" i="4"/>
  <c r="C279" i="4"/>
  <c r="D279" i="4"/>
  <c r="E279" i="4"/>
  <c r="F279" i="4"/>
  <c r="G279" i="4"/>
  <c r="H279" i="4"/>
  <c r="I279" i="4"/>
  <c r="J279" i="4"/>
  <c r="K279" i="4"/>
  <c r="N279" i="4"/>
  <c r="O279" i="4"/>
  <c r="P279" i="4"/>
  <c r="C280" i="4"/>
  <c r="D280" i="4"/>
  <c r="E280" i="4"/>
  <c r="F280" i="4"/>
  <c r="G280" i="4"/>
  <c r="H280" i="4"/>
  <c r="I280" i="4"/>
  <c r="J280" i="4"/>
  <c r="K280" i="4"/>
  <c r="N280" i="4"/>
  <c r="O280" i="4"/>
  <c r="P280" i="4"/>
  <c r="C281" i="4"/>
  <c r="D281" i="4"/>
  <c r="E281" i="4"/>
  <c r="F281" i="4"/>
  <c r="G281" i="4"/>
  <c r="H281" i="4"/>
  <c r="I281" i="4"/>
  <c r="J281" i="4"/>
  <c r="K281" i="4"/>
  <c r="N281" i="4"/>
  <c r="O281" i="4"/>
  <c r="P281" i="4"/>
  <c r="C282" i="4"/>
  <c r="D282" i="4"/>
  <c r="E282" i="4"/>
  <c r="F282" i="4"/>
  <c r="G282" i="4"/>
  <c r="H282" i="4"/>
  <c r="I282" i="4"/>
  <c r="J282" i="4"/>
  <c r="K282" i="4"/>
  <c r="N282" i="4"/>
  <c r="O282" i="4"/>
  <c r="P282" i="4"/>
  <c r="C283" i="4"/>
  <c r="D283" i="4"/>
  <c r="E283" i="4"/>
  <c r="F283" i="4"/>
  <c r="G283" i="4"/>
  <c r="H283" i="4"/>
  <c r="I283" i="4"/>
  <c r="J283" i="4"/>
  <c r="K283" i="4"/>
  <c r="N283" i="4"/>
  <c r="O283" i="4"/>
  <c r="P283" i="4"/>
  <c r="C284" i="4"/>
  <c r="D284" i="4"/>
  <c r="E284" i="4"/>
  <c r="F284" i="4"/>
  <c r="G284" i="4"/>
  <c r="H284" i="4"/>
  <c r="I284" i="4"/>
  <c r="J284" i="4"/>
  <c r="K284" i="4"/>
  <c r="N284" i="4"/>
  <c r="O284" i="4"/>
  <c r="P284" i="4"/>
  <c r="C285" i="4"/>
  <c r="D285" i="4"/>
  <c r="E285" i="4"/>
  <c r="F285" i="4"/>
  <c r="G285" i="4"/>
  <c r="H285" i="4"/>
  <c r="I285" i="4"/>
  <c r="J285" i="4"/>
  <c r="K285" i="4"/>
  <c r="N285" i="4"/>
  <c r="O285" i="4"/>
  <c r="P285" i="4"/>
  <c r="C286" i="4"/>
  <c r="D286" i="4"/>
  <c r="E286" i="4"/>
  <c r="F286" i="4"/>
  <c r="G286" i="4"/>
  <c r="H286" i="4"/>
  <c r="I286" i="4"/>
  <c r="J286" i="4"/>
  <c r="K286" i="4"/>
  <c r="N286" i="4"/>
  <c r="O286" i="4"/>
  <c r="P286" i="4"/>
  <c r="C287" i="4"/>
  <c r="D287" i="4"/>
  <c r="E287" i="4"/>
  <c r="F287" i="4"/>
  <c r="G287" i="4"/>
  <c r="H287" i="4"/>
  <c r="I287" i="4"/>
  <c r="J287" i="4"/>
  <c r="K287" i="4"/>
  <c r="N287" i="4"/>
  <c r="O287" i="4"/>
  <c r="P287" i="4"/>
  <c r="C288" i="4"/>
  <c r="D288" i="4"/>
  <c r="E288" i="4"/>
  <c r="F288" i="4"/>
  <c r="G288" i="4"/>
  <c r="H288" i="4"/>
  <c r="I288" i="4"/>
  <c r="J288" i="4"/>
  <c r="K288" i="4"/>
  <c r="N288" i="4"/>
  <c r="O288" i="4"/>
  <c r="P288" i="4"/>
  <c r="C289" i="4"/>
  <c r="D289" i="4"/>
  <c r="E289" i="4"/>
  <c r="F289" i="4"/>
  <c r="G289" i="4"/>
  <c r="H289" i="4"/>
  <c r="I289" i="4"/>
  <c r="J289" i="4"/>
  <c r="K289" i="4"/>
  <c r="N289" i="4"/>
  <c r="O289" i="4"/>
  <c r="P289" i="4"/>
  <c r="C290" i="4"/>
  <c r="D290" i="4"/>
  <c r="E290" i="4"/>
  <c r="F290" i="4"/>
  <c r="G290" i="4"/>
  <c r="H290" i="4"/>
  <c r="I290" i="4"/>
  <c r="J290" i="4"/>
  <c r="K290" i="4"/>
  <c r="N290" i="4"/>
  <c r="O290" i="4"/>
  <c r="P290" i="4"/>
  <c r="C291" i="4"/>
  <c r="D291" i="4"/>
  <c r="E291" i="4"/>
  <c r="F291" i="4"/>
  <c r="G291" i="4"/>
  <c r="H291" i="4"/>
  <c r="I291" i="4"/>
  <c r="J291" i="4"/>
  <c r="K291" i="4"/>
  <c r="N291" i="4"/>
  <c r="O291" i="4"/>
  <c r="P291" i="4"/>
  <c r="C292" i="4"/>
  <c r="D292" i="4"/>
  <c r="E292" i="4"/>
  <c r="F292" i="4"/>
  <c r="G292" i="4"/>
  <c r="H292" i="4"/>
  <c r="I292" i="4"/>
  <c r="J292" i="4"/>
  <c r="K292" i="4"/>
  <c r="N292" i="4"/>
  <c r="O292" i="4"/>
  <c r="P292" i="4"/>
  <c r="C293" i="4"/>
  <c r="D293" i="4"/>
  <c r="E293" i="4"/>
  <c r="F293" i="4"/>
  <c r="G293" i="4"/>
  <c r="H293" i="4"/>
  <c r="I293" i="4"/>
  <c r="J293" i="4"/>
  <c r="K293" i="4"/>
  <c r="N293" i="4"/>
  <c r="O293" i="4"/>
  <c r="P293" i="4"/>
  <c r="C294" i="4"/>
  <c r="D294" i="4"/>
  <c r="E294" i="4"/>
  <c r="F294" i="4"/>
  <c r="G294" i="4"/>
  <c r="H294" i="4"/>
  <c r="I294" i="4"/>
  <c r="J294" i="4"/>
  <c r="K294" i="4"/>
  <c r="N294" i="4"/>
  <c r="O294" i="4"/>
  <c r="P294" i="4"/>
  <c r="C295" i="4"/>
  <c r="D295" i="4"/>
  <c r="E295" i="4"/>
  <c r="F295" i="4"/>
  <c r="G295" i="4"/>
  <c r="H295" i="4"/>
  <c r="I295" i="4"/>
  <c r="J295" i="4"/>
  <c r="K295" i="4"/>
  <c r="N295" i="4"/>
  <c r="O295" i="4"/>
  <c r="P295" i="4"/>
  <c r="C296" i="4"/>
  <c r="D296" i="4"/>
  <c r="E296" i="4"/>
  <c r="F296" i="4"/>
  <c r="G296" i="4"/>
  <c r="H296" i="4"/>
  <c r="I296" i="4"/>
  <c r="J296" i="4"/>
  <c r="K296" i="4"/>
  <c r="N296" i="4"/>
  <c r="O296" i="4"/>
  <c r="P296" i="4"/>
  <c r="C297" i="4"/>
  <c r="D297" i="4"/>
  <c r="E297" i="4"/>
  <c r="F297" i="4"/>
  <c r="G297" i="4"/>
  <c r="H297" i="4"/>
  <c r="I297" i="4"/>
  <c r="J297" i="4"/>
  <c r="K297" i="4"/>
  <c r="N297" i="4"/>
  <c r="O297" i="4"/>
  <c r="P297" i="4"/>
  <c r="C298" i="4"/>
  <c r="D298" i="4"/>
  <c r="E298" i="4"/>
  <c r="F298" i="4"/>
  <c r="G298" i="4"/>
  <c r="H298" i="4"/>
  <c r="I298" i="4"/>
  <c r="J298" i="4"/>
  <c r="K298" i="4"/>
  <c r="N298" i="4"/>
  <c r="O298" i="4"/>
  <c r="P298" i="4"/>
  <c r="C299" i="4"/>
  <c r="D299" i="4"/>
  <c r="E299" i="4"/>
  <c r="F299" i="4"/>
  <c r="G299" i="4"/>
  <c r="H299" i="4"/>
  <c r="I299" i="4"/>
  <c r="J299" i="4"/>
  <c r="K299" i="4"/>
  <c r="N299" i="4"/>
  <c r="O299" i="4"/>
  <c r="P299" i="4"/>
  <c r="C300" i="4"/>
  <c r="D300" i="4"/>
  <c r="E300" i="4"/>
  <c r="F300" i="4"/>
  <c r="G300" i="4"/>
  <c r="H300" i="4"/>
  <c r="I300" i="4"/>
  <c r="J300" i="4"/>
  <c r="K300" i="4"/>
  <c r="N300" i="4"/>
  <c r="O300" i="4"/>
  <c r="P300" i="4"/>
  <c r="C301" i="4"/>
  <c r="D301" i="4"/>
  <c r="E301" i="4"/>
  <c r="F301" i="4"/>
  <c r="G301" i="4"/>
  <c r="H301" i="4"/>
  <c r="I301" i="4"/>
  <c r="J301" i="4"/>
  <c r="K301" i="4"/>
  <c r="N301" i="4"/>
  <c r="O301" i="4"/>
  <c r="P301" i="4"/>
  <c r="C302" i="4"/>
  <c r="D302" i="4"/>
  <c r="E302" i="4"/>
  <c r="F302" i="4"/>
  <c r="G302" i="4"/>
  <c r="H302" i="4"/>
  <c r="I302" i="4"/>
  <c r="J302" i="4"/>
  <c r="K302" i="4"/>
  <c r="N302" i="4"/>
  <c r="O302" i="4"/>
  <c r="P302" i="4"/>
  <c r="C303" i="4"/>
  <c r="D303" i="4"/>
  <c r="E303" i="4"/>
  <c r="F303" i="4"/>
  <c r="G303" i="4"/>
  <c r="H303" i="4"/>
  <c r="I303" i="4"/>
  <c r="J303" i="4"/>
  <c r="K303" i="4"/>
  <c r="N303" i="4"/>
  <c r="O303" i="4"/>
  <c r="P303" i="4"/>
  <c r="C304" i="4"/>
  <c r="D304" i="4"/>
  <c r="E304" i="4"/>
  <c r="F304" i="4"/>
  <c r="G304" i="4"/>
  <c r="H304" i="4"/>
  <c r="I304" i="4"/>
  <c r="J304" i="4"/>
  <c r="K304" i="4"/>
  <c r="N304" i="4"/>
  <c r="O304" i="4"/>
  <c r="P304" i="4"/>
  <c r="C305" i="4"/>
  <c r="D305" i="4"/>
  <c r="E305" i="4"/>
  <c r="F305" i="4"/>
  <c r="G305" i="4"/>
  <c r="H305" i="4"/>
  <c r="I305" i="4"/>
  <c r="J305" i="4"/>
  <c r="K305" i="4"/>
  <c r="N305" i="4"/>
  <c r="O305" i="4"/>
  <c r="P305" i="4"/>
  <c r="B300" i="4"/>
  <c r="B301" i="4"/>
  <c r="B302" i="4"/>
  <c r="B303" i="4"/>
  <c r="B304" i="4"/>
  <c r="B305" i="4"/>
  <c r="B43" i="4"/>
  <c r="B44" i="4"/>
  <c r="B44" i="1" s="1"/>
  <c r="B45" i="4"/>
  <c r="B46" i="4"/>
  <c r="B47" i="4"/>
  <c r="B48" i="4"/>
  <c r="B48" i="1" s="1"/>
  <c r="B49" i="4"/>
  <c r="B49" i="1" s="1"/>
  <c r="B50" i="4"/>
  <c r="B50" i="1" s="1"/>
  <c r="B51" i="4"/>
  <c r="B51" i="1" s="1"/>
  <c r="B52" i="4"/>
  <c r="B52" i="1" s="1"/>
  <c r="B53" i="4"/>
  <c r="B53" i="1" s="1"/>
  <c r="B54" i="4"/>
  <c r="B54" i="1" s="1"/>
  <c r="B55" i="4"/>
  <c r="B56" i="4"/>
  <c r="B57" i="4"/>
  <c r="B58" i="4"/>
  <c r="B59" i="4"/>
  <c r="B60" i="4"/>
  <c r="B60" i="1" s="1"/>
  <c r="B61" i="4"/>
  <c r="B61" i="1" s="1"/>
  <c r="B62" i="4"/>
  <c r="B62" i="1" s="1"/>
  <c r="B63" i="4"/>
  <c r="B63" i="1" s="1"/>
  <c r="B64" i="4"/>
  <c r="B64" i="1" s="1"/>
  <c r="B65" i="4"/>
  <c r="B65" i="1" s="1"/>
  <c r="B66" i="4"/>
  <c r="B66" i="1" s="1"/>
  <c r="B67" i="4"/>
  <c r="B68" i="4"/>
  <c r="B69" i="4"/>
  <c r="B70" i="4"/>
  <c r="B71" i="4"/>
  <c r="B72" i="4"/>
  <c r="B73" i="4"/>
  <c r="B74" i="4"/>
  <c r="B74" i="1" s="1"/>
  <c r="B75" i="4"/>
  <c r="B76" i="4"/>
  <c r="B76" i="1" s="1"/>
  <c r="B77" i="4"/>
  <c r="B77" i="1" s="1"/>
  <c r="B78" i="4"/>
  <c r="B78" i="1" s="1"/>
  <c r="B79" i="4"/>
  <c r="B80" i="4"/>
  <c r="B80" i="1" s="1"/>
  <c r="B81" i="4"/>
  <c r="B82" i="4"/>
  <c r="B83" i="4"/>
  <c r="B84" i="4"/>
  <c r="B85" i="4"/>
  <c r="B86" i="4"/>
  <c r="B87" i="4"/>
  <c r="B88" i="4"/>
  <c r="B89" i="4"/>
  <c r="B90" i="4"/>
  <c r="B90" i="1" s="1"/>
  <c r="B91" i="4"/>
  <c r="B92" i="4"/>
  <c r="B93" i="4"/>
  <c r="B94" i="4"/>
  <c r="B95" i="4"/>
  <c r="B96" i="4"/>
  <c r="B96" i="1" s="1"/>
  <c r="B97" i="4"/>
  <c r="B97" i="1" s="1"/>
  <c r="B98" i="4"/>
  <c r="B98" i="1" s="1"/>
  <c r="B99" i="4"/>
  <c r="B99" i="1" s="1"/>
  <c r="B100" i="4"/>
  <c r="B100" i="1" s="1"/>
  <c r="B101" i="4"/>
  <c r="B101" i="1" s="1"/>
  <c r="B102" i="4"/>
  <c r="B102" i="1" s="1"/>
  <c r="B103" i="4"/>
  <c r="B104" i="4"/>
  <c r="B105" i="4"/>
  <c r="B106" i="4"/>
  <c r="B107" i="4"/>
  <c r="B108" i="4"/>
  <c r="B109" i="4"/>
  <c r="B109" i="1" s="1"/>
  <c r="B110" i="4"/>
  <c r="B110" i="1" s="1"/>
  <c r="B111" i="4"/>
  <c r="B111" i="1" s="1"/>
  <c r="B112" i="4"/>
  <c r="B112" i="1" s="1"/>
  <c r="B113" i="4"/>
  <c r="B113" i="1" s="1"/>
  <c r="B114" i="4"/>
  <c r="B115" i="4"/>
  <c r="B116" i="4"/>
  <c r="B117" i="4"/>
  <c r="B118" i="4"/>
  <c r="B119" i="4"/>
  <c r="B120" i="4"/>
  <c r="B121" i="4"/>
  <c r="B122" i="4"/>
  <c r="B123" i="4"/>
  <c r="B124" i="4"/>
  <c r="B124" i="1" s="1"/>
  <c r="B125" i="4"/>
  <c r="B125" i="1" s="1"/>
  <c r="B126" i="4"/>
  <c r="B126" i="1" s="1"/>
  <c r="B127" i="4"/>
  <c r="B128" i="4"/>
  <c r="B128" i="1" s="1"/>
  <c r="B129" i="4"/>
  <c r="B130" i="4"/>
  <c r="B131" i="4"/>
  <c r="B132" i="4"/>
  <c r="B133" i="4"/>
  <c r="B134" i="4"/>
  <c r="B135" i="4"/>
  <c r="B136" i="4"/>
  <c r="B137" i="4"/>
  <c r="B138" i="4"/>
  <c r="B138" i="1" s="1"/>
  <c r="B139" i="4"/>
  <c r="B140" i="4"/>
  <c r="B141" i="4"/>
  <c r="B142" i="4"/>
  <c r="B143" i="4"/>
  <c r="B144" i="4"/>
  <c r="B144" i="1" s="1"/>
  <c r="B145" i="4"/>
  <c r="B145" i="1" s="1"/>
  <c r="B146" i="4"/>
  <c r="B146" i="1" s="1"/>
  <c r="B147" i="4"/>
  <c r="B147" i="1" s="1"/>
  <c r="B148" i="4"/>
  <c r="B148" i="1" s="1"/>
  <c r="B149" i="4"/>
  <c r="B149" i="1" s="1"/>
  <c r="B150" i="4"/>
  <c r="B150" i="1" s="1"/>
  <c r="B151" i="4"/>
  <c r="B152" i="4"/>
  <c r="B153" i="4"/>
  <c r="B154" i="4"/>
  <c r="B155" i="4"/>
  <c r="B156" i="4"/>
  <c r="B157" i="4"/>
  <c r="B157" i="1" s="1"/>
  <c r="B158" i="4"/>
  <c r="B158" i="1" s="1"/>
  <c r="B159" i="4"/>
  <c r="B159" i="1" s="1"/>
  <c r="B160" i="4"/>
  <c r="B160" i="1" s="1"/>
  <c r="B161" i="4"/>
  <c r="B161" i="1" s="1"/>
  <c r="B162" i="4"/>
  <c r="B163" i="4"/>
  <c r="B164" i="4"/>
  <c r="B165" i="4"/>
  <c r="B166" i="4"/>
  <c r="B167" i="4"/>
  <c r="B168" i="4"/>
  <c r="B169" i="4"/>
  <c r="B170" i="4"/>
  <c r="B171" i="4"/>
  <c r="B172" i="4"/>
  <c r="B172" i="1" s="1"/>
  <c r="B173" i="4"/>
  <c r="B173" i="1" s="1"/>
  <c r="B174" i="4"/>
  <c r="B174" i="1" s="1"/>
  <c r="B175" i="4"/>
  <c r="B176" i="4"/>
  <c r="B176" i="1" s="1"/>
  <c r="B177" i="4"/>
  <c r="B178" i="4"/>
  <c r="B179" i="4"/>
  <c r="B180" i="4"/>
  <c r="B181" i="4"/>
  <c r="B182" i="4"/>
  <c r="B183" i="4"/>
  <c r="B184" i="4"/>
  <c r="B185" i="4"/>
  <c r="B186" i="4"/>
  <c r="B186" i="1" s="1"/>
  <c r="B187" i="4"/>
  <c r="B188" i="4"/>
  <c r="B189" i="4"/>
  <c r="B190" i="4"/>
  <c r="B191" i="4"/>
  <c r="B192" i="4"/>
  <c r="B192" i="1" s="1"/>
  <c r="B193" i="4"/>
  <c r="B193" i="1" s="1"/>
  <c r="B194" i="4"/>
  <c r="B194" i="1" s="1"/>
  <c r="B195" i="4"/>
  <c r="B195" i="1" s="1"/>
  <c r="B196" i="4"/>
  <c r="B196" i="1" s="1"/>
  <c r="B197" i="4"/>
  <c r="B197" i="1" s="1"/>
  <c r="B198" i="4"/>
  <c r="B198" i="1" s="1"/>
  <c r="B199" i="4"/>
  <c r="B200" i="4"/>
  <c r="B201" i="4"/>
  <c r="B202" i="4"/>
  <c r="B203" i="4"/>
  <c r="B204" i="4"/>
  <c r="B205" i="4"/>
  <c r="B205" i="1" s="1"/>
  <c r="B206" i="4"/>
  <c r="B206" i="1" s="1"/>
  <c r="B207" i="4"/>
  <c r="B207" i="1" s="1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43" i="1"/>
  <c r="B45" i="1"/>
  <c r="B55" i="1"/>
  <c r="B57" i="1"/>
  <c r="B67" i="1"/>
  <c r="B69" i="1"/>
  <c r="B79" i="1"/>
  <c r="B81" i="1"/>
  <c r="B91" i="1"/>
  <c r="B93" i="1"/>
  <c r="B103" i="1"/>
  <c r="B105" i="1"/>
  <c r="B114" i="1"/>
  <c r="B115" i="1"/>
  <c r="B117" i="1"/>
  <c r="B127" i="1"/>
  <c r="B129" i="1"/>
  <c r="B139" i="1"/>
  <c r="B141" i="1"/>
  <c r="B151" i="1"/>
  <c r="B153" i="1"/>
  <c r="B162" i="1"/>
  <c r="B163" i="1"/>
  <c r="B165" i="1"/>
  <c r="B175" i="1"/>
  <c r="B177" i="1"/>
  <c r="B187" i="1"/>
  <c r="B189" i="1"/>
  <c r="B199" i="1"/>
  <c r="B201" i="1"/>
  <c r="H234" i="2"/>
  <c r="L234" i="2"/>
  <c r="O234" i="2"/>
  <c r="Q234" i="2"/>
  <c r="T234" i="2"/>
  <c r="W234" i="2"/>
  <c r="H235" i="2"/>
  <c r="L235" i="2"/>
  <c r="O235" i="2"/>
  <c r="Q235" i="2"/>
  <c r="T235" i="2"/>
  <c r="W235" i="2"/>
  <c r="H236" i="2"/>
  <c r="L236" i="2"/>
  <c r="O236" i="2"/>
  <c r="Q236" i="2"/>
  <c r="T236" i="2"/>
  <c r="W236" i="2"/>
  <c r="H237" i="2"/>
  <c r="L237" i="2"/>
  <c r="O237" i="2"/>
  <c r="Q237" i="2"/>
  <c r="T237" i="2"/>
  <c r="W237" i="2"/>
  <c r="H238" i="2"/>
  <c r="L238" i="2"/>
  <c r="O238" i="2"/>
  <c r="Q238" i="2"/>
  <c r="T238" i="2"/>
  <c r="W238" i="2"/>
  <c r="H239" i="2"/>
  <c r="L239" i="2"/>
  <c r="O239" i="2"/>
  <c r="Q239" i="2"/>
  <c r="T239" i="2"/>
  <c r="W239" i="2"/>
  <c r="H240" i="2"/>
  <c r="L240" i="2"/>
  <c r="O240" i="2"/>
  <c r="Q240" i="2"/>
  <c r="T240" i="2"/>
  <c r="W240" i="2"/>
  <c r="H241" i="2"/>
  <c r="L241" i="2"/>
  <c r="O241" i="2"/>
  <c r="Q241" i="2"/>
  <c r="T241" i="2"/>
  <c r="W241" i="2"/>
  <c r="H242" i="2"/>
  <c r="L242" i="2"/>
  <c r="O242" i="2"/>
  <c r="Q242" i="2"/>
  <c r="T242" i="2"/>
  <c r="W242" i="2"/>
  <c r="H243" i="2"/>
  <c r="L243" i="2"/>
  <c r="O243" i="2"/>
  <c r="Q243" i="2"/>
  <c r="T243" i="2"/>
  <c r="W243" i="2"/>
  <c r="H244" i="2"/>
  <c r="L244" i="2"/>
  <c r="O244" i="2"/>
  <c r="Q244" i="2"/>
  <c r="T244" i="2"/>
  <c r="W244" i="2"/>
  <c r="H245" i="2"/>
  <c r="L245" i="2"/>
  <c r="O245" i="2"/>
  <c r="Q245" i="2"/>
  <c r="T245" i="2"/>
  <c r="W245" i="2"/>
  <c r="H246" i="2"/>
  <c r="L246" i="2"/>
  <c r="O246" i="2"/>
  <c r="Q246" i="2"/>
  <c r="T246" i="2"/>
  <c r="W246" i="2"/>
  <c r="H247" i="2"/>
  <c r="L247" i="2"/>
  <c r="O247" i="2"/>
  <c r="Q247" i="2"/>
  <c r="T247" i="2"/>
  <c r="W247" i="2"/>
  <c r="H248" i="2"/>
  <c r="L248" i="2"/>
  <c r="O248" i="2"/>
  <c r="Q248" i="2"/>
  <c r="T248" i="2"/>
  <c r="W248" i="2"/>
  <c r="H249" i="2"/>
  <c r="L249" i="2"/>
  <c r="O249" i="2"/>
  <c r="Q249" i="2"/>
  <c r="T249" i="2"/>
  <c r="W249" i="2"/>
  <c r="H250" i="2"/>
  <c r="L250" i="2"/>
  <c r="O250" i="2"/>
  <c r="Q250" i="2"/>
  <c r="T250" i="2"/>
  <c r="W250" i="2"/>
  <c r="H251" i="2"/>
  <c r="L251" i="2"/>
  <c r="O251" i="2"/>
  <c r="Q251" i="2"/>
  <c r="T251" i="2"/>
  <c r="W251" i="2"/>
  <c r="H252" i="2"/>
  <c r="L252" i="2"/>
  <c r="O252" i="2"/>
  <c r="Q252" i="2"/>
  <c r="T252" i="2"/>
  <c r="W252" i="2"/>
  <c r="H253" i="2"/>
  <c r="L253" i="2"/>
  <c r="O253" i="2"/>
  <c r="Q253" i="2"/>
  <c r="T253" i="2"/>
  <c r="W253" i="2"/>
  <c r="H254" i="2"/>
  <c r="L254" i="2"/>
  <c r="O254" i="2"/>
  <c r="Q254" i="2"/>
  <c r="T254" i="2"/>
  <c r="W254" i="2"/>
  <c r="H255" i="2"/>
  <c r="L255" i="2"/>
  <c r="O255" i="2"/>
  <c r="Q255" i="2"/>
  <c r="T255" i="2"/>
  <c r="W255" i="2"/>
  <c r="H256" i="2"/>
  <c r="L256" i="2"/>
  <c r="O256" i="2"/>
  <c r="Q256" i="2"/>
  <c r="T256" i="2"/>
  <c r="W256" i="2"/>
  <c r="H257" i="2"/>
  <c r="L257" i="2"/>
  <c r="O257" i="2"/>
  <c r="Q257" i="2"/>
  <c r="T257" i="2"/>
  <c r="W257" i="2"/>
  <c r="H258" i="2"/>
  <c r="L258" i="2"/>
  <c r="O258" i="2"/>
  <c r="Q258" i="2"/>
  <c r="T258" i="2"/>
  <c r="W258" i="2"/>
  <c r="H259" i="2"/>
  <c r="L259" i="2"/>
  <c r="O259" i="2"/>
  <c r="Q259" i="2"/>
  <c r="T259" i="2"/>
  <c r="W259" i="2"/>
  <c r="H260" i="2"/>
  <c r="L260" i="2"/>
  <c r="O260" i="2"/>
  <c r="Q260" i="2"/>
  <c r="T260" i="2"/>
  <c r="W260" i="2"/>
  <c r="H261" i="2"/>
  <c r="L261" i="2"/>
  <c r="O261" i="2"/>
  <c r="Q261" i="2"/>
  <c r="T261" i="2"/>
  <c r="W261" i="2"/>
  <c r="H262" i="2"/>
  <c r="L262" i="2"/>
  <c r="O262" i="2"/>
  <c r="Q262" i="2"/>
  <c r="T262" i="2"/>
  <c r="W262" i="2"/>
  <c r="H263" i="2"/>
  <c r="L263" i="2"/>
  <c r="O263" i="2"/>
  <c r="Q263" i="2"/>
  <c r="T263" i="2"/>
  <c r="W263" i="2"/>
  <c r="H264" i="2"/>
  <c r="L264" i="2"/>
  <c r="O264" i="2"/>
  <c r="Q264" i="2"/>
  <c r="T264" i="2"/>
  <c r="W264" i="2"/>
  <c r="H265" i="2"/>
  <c r="L265" i="2"/>
  <c r="O265" i="2"/>
  <c r="Q265" i="2"/>
  <c r="T265" i="2"/>
  <c r="W265" i="2"/>
  <c r="H266" i="2"/>
  <c r="L266" i="2"/>
  <c r="O266" i="2"/>
  <c r="Q266" i="2"/>
  <c r="T266" i="2"/>
  <c r="W266" i="2"/>
  <c r="H267" i="2"/>
  <c r="L267" i="2"/>
  <c r="O267" i="2"/>
  <c r="Q267" i="2"/>
  <c r="T267" i="2"/>
  <c r="W267" i="2"/>
  <c r="H268" i="2"/>
  <c r="L268" i="2"/>
  <c r="O268" i="2"/>
  <c r="Q268" i="2"/>
  <c r="T268" i="2"/>
  <c r="W268" i="2"/>
  <c r="H269" i="2"/>
  <c r="L269" i="2"/>
  <c r="O269" i="2"/>
  <c r="Q269" i="2"/>
  <c r="T269" i="2"/>
  <c r="W269" i="2"/>
  <c r="H270" i="2"/>
  <c r="L270" i="2"/>
  <c r="O270" i="2"/>
  <c r="Q270" i="2"/>
  <c r="T270" i="2"/>
  <c r="W270" i="2"/>
  <c r="H271" i="2"/>
  <c r="L271" i="2"/>
  <c r="O271" i="2"/>
  <c r="Q271" i="2"/>
  <c r="T271" i="2"/>
  <c r="W271" i="2"/>
  <c r="H272" i="2"/>
  <c r="L272" i="2"/>
  <c r="O272" i="2"/>
  <c r="Q272" i="2"/>
  <c r="T272" i="2"/>
  <c r="W272" i="2"/>
  <c r="H273" i="2"/>
  <c r="L273" i="2"/>
  <c r="O273" i="2"/>
  <c r="Q273" i="2"/>
  <c r="T273" i="2"/>
  <c r="W273" i="2"/>
  <c r="H274" i="2"/>
  <c r="L274" i="2"/>
  <c r="O274" i="2"/>
  <c r="Q274" i="2"/>
  <c r="T274" i="2"/>
  <c r="W274" i="2"/>
  <c r="H275" i="2"/>
  <c r="L275" i="2"/>
  <c r="O275" i="2"/>
  <c r="Q275" i="2"/>
  <c r="T275" i="2"/>
  <c r="W275" i="2"/>
  <c r="H276" i="2"/>
  <c r="L276" i="2"/>
  <c r="O276" i="2"/>
  <c r="Q276" i="2"/>
  <c r="T276" i="2"/>
  <c r="W276" i="2"/>
  <c r="H277" i="2"/>
  <c r="L277" i="2"/>
  <c r="O277" i="2"/>
  <c r="Q277" i="2"/>
  <c r="T277" i="2"/>
  <c r="W277" i="2"/>
  <c r="H278" i="2"/>
  <c r="L278" i="2"/>
  <c r="O278" i="2"/>
  <c r="Q278" i="2"/>
  <c r="T278" i="2"/>
  <c r="W278" i="2"/>
  <c r="H279" i="2"/>
  <c r="L279" i="2"/>
  <c r="O279" i="2"/>
  <c r="Q279" i="2"/>
  <c r="T279" i="2"/>
  <c r="W279" i="2"/>
  <c r="H280" i="2"/>
  <c r="L280" i="2"/>
  <c r="O280" i="2"/>
  <c r="Q280" i="2"/>
  <c r="T280" i="2"/>
  <c r="W280" i="2"/>
  <c r="H281" i="2"/>
  <c r="L281" i="2"/>
  <c r="O281" i="2"/>
  <c r="Q281" i="2"/>
  <c r="T281" i="2"/>
  <c r="W281" i="2"/>
  <c r="H282" i="2"/>
  <c r="L282" i="2"/>
  <c r="O282" i="2"/>
  <c r="Q282" i="2"/>
  <c r="T282" i="2"/>
  <c r="W282" i="2"/>
  <c r="H283" i="2"/>
  <c r="L283" i="2"/>
  <c r="O283" i="2"/>
  <c r="Q283" i="2"/>
  <c r="T283" i="2"/>
  <c r="W283" i="2"/>
  <c r="H284" i="2"/>
  <c r="L284" i="2"/>
  <c r="O284" i="2"/>
  <c r="Q284" i="2"/>
  <c r="T284" i="2"/>
  <c r="W284" i="2"/>
  <c r="H285" i="2"/>
  <c r="L285" i="2"/>
  <c r="O285" i="2"/>
  <c r="Q285" i="2"/>
  <c r="T285" i="2"/>
  <c r="W285" i="2"/>
  <c r="H286" i="2"/>
  <c r="L286" i="2"/>
  <c r="O286" i="2"/>
  <c r="Q286" i="2"/>
  <c r="T286" i="2"/>
  <c r="W286" i="2"/>
  <c r="H287" i="2"/>
  <c r="L287" i="2"/>
  <c r="O287" i="2"/>
  <c r="Q287" i="2"/>
  <c r="T287" i="2"/>
  <c r="W287" i="2"/>
  <c r="H288" i="2"/>
  <c r="L288" i="2"/>
  <c r="O288" i="2"/>
  <c r="Q288" i="2"/>
  <c r="T288" i="2"/>
  <c r="W288" i="2"/>
  <c r="H289" i="2"/>
  <c r="L289" i="2"/>
  <c r="O289" i="2"/>
  <c r="Q289" i="2"/>
  <c r="T289" i="2"/>
  <c r="W289" i="2"/>
  <c r="H290" i="2"/>
  <c r="L290" i="2"/>
  <c r="O290" i="2"/>
  <c r="Q290" i="2"/>
  <c r="T290" i="2"/>
  <c r="W290" i="2"/>
  <c r="H291" i="2"/>
  <c r="L291" i="2"/>
  <c r="O291" i="2"/>
  <c r="Q291" i="2"/>
  <c r="T291" i="2"/>
  <c r="W291" i="2"/>
  <c r="H292" i="2"/>
  <c r="L292" i="2"/>
  <c r="O292" i="2"/>
  <c r="Q292" i="2"/>
  <c r="T292" i="2"/>
  <c r="W292" i="2"/>
  <c r="H293" i="2"/>
  <c r="L293" i="2"/>
  <c r="O293" i="2"/>
  <c r="Q293" i="2"/>
  <c r="T293" i="2"/>
  <c r="W293" i="2"/>
  <c r="H294" i="2"/>
  <c r="L294" i="2"/>
  <c r="O294" i="2"/>
  <c r="Q294" i="2"/>
  <c r="T294" i="2"/>
  <c r="W294" i="2"/>
  <c r="H295" i="2"/>
  <c r="L295" i="2"/>
  <c r="O295" i="2"/>
  <c r="Q295" i="2"/>
  <c r="T295" i="2"/>
  <c r="W295" i="2"/>
  <c r="H296" i="2"/>
  <c r="L296" i="2"/>
  <c r="O296" i="2"/>
  <c r="Q296" i="2"/>
  <c r="T296" i="2"/>
  <c r="W296" i="2"/>
  <c r="H297" i="2"/>
  <c r="L297" i="2"/>
  <c r="O297" i="2"/>
  <c r="Q297" i="2"/>
  <c r="T297" i="2"/>
  <c r="W297" i="2"/>
  <c r="H298" i="2"/>
  <c r="L298" i="2"/>
  <c r="O298" i="2"/>
  <c r="Q298" i="2"/>
  <c r="T298" i="2"/>
  <c r="W298" i="2"/>
  <c r="H299" i="2"/>
  <c r="L299" i="2"/>
  <c r="O299" i="2"/>
  <c r="Q299" i="2"/>
  <c r="T299" i="2"/>
  <c r="W299" i="2"/>
  <c r="H300" i="2"/>
  <c r="L300" i="2"/>
  <c r="O300" i="2"/>
  <c r="Q300" i="2"/>
  <c r="T300" i="2"/>
  <c r="W300" i="2"/>
  <c r="H301" i="2"/>
  <c r="L301" i="2"/>
  <c r="O301" i="2"/>
  <c r="Q301" i="2"/>
  <c r="T301" i="2"/>
  <c r="W301" i="2"/>
  <c r="H302" i="2"/>
  <c r="L302" i="2"/>
  <c r="O302" i="2"/>
  <c r="Q302" i="2"/>
  <c r="T302" i="2"/>
  <c r="W302" i="2"/>
  <c r="H303" i="2"/>
  <c r="L303" i="2"/>
  <c r="O303" i="2"/>
  <c r="Q303" i="2"/>
  <c r="T303" i="2"/>
  <c r="W303" i="2"/>
  <c r="H304" i="2"/>
  <c r="L304" i="2"/>
  <c r="O304" i="2"/>
  <c r="Q304" i="2"/>
  <c r="T304" i="2"/>
  <c r="W304" i="2"/>
  <c r="H305" i="2"/>
  <c r="L305" i="2"/>
  <c r="O305" i="2"/>
  <c r="Q305" i="2"/>
  <c r="T305" i="2"/>
  <c r="W305" i="2"/>
  <c r="B6" i="2" a="1"/>
  <c r="B6" i="2" s="1"/>
  <c r="B7" i="4"/>
  <c r="B7" i="1" s="1"/>
  <c r="B8" i="4"/>
  <c r="B8" i="1" s="1"/>
  <c r="B9" i="4"/>
  <c r="B9" i="1" s="1"/>
  <c r="B10" i="4"/>
  <c r="B10" i="1" s="1"/>
  <c r="B11" i="4"/>
  <c r="B11" i="1" s="1"/>
  <c r="B12" i="4"/>
  <c r="B12" i="1" s="1"/>
  <c r="B13" i="4"/>
  <c r="B13" i="1" s="1"/>
  <c r="B14" i="4"/>
  <c r="B14" i="1" s="1"/>
  <c r="B15" i="4"/>
  <c r="B15" i="1" s="1"/>
  <c r="B16" i="4"/>
  <c r="B16" i="1" s="1"/>
  <c r="B17" i="4"/>
  <c r="B17" i="1" s="1"/>
  <c r="B18" i="4"/>
  <c r="B18" i="1" s="1"/>
  <c r="B19" i="4"/>
  <c r="B19" i="1" s="1"/>
  <c r="B20" i="4"/>
  <c r="B20" i="1" s="1"/>
  <c r="B21" i="4"/>
  <c r="B21" i="1" s="1"/>
  <c r="B22" i="4"/>
  <c r="B22" i="1" s="1"/>
  <c r="B23" i="4"/>
  <c r="B23" i="1" s="1"/>
  <c r="B24" i="4"/>
  <c r="B24" i="1" s="1"/>
  <c r="B25" i="4"/>
  <c r="B25" i="1" s="1"/>
  <c r="B26" i="4"/>
  <c r="B26" i="1" s="1"/>
  <c r="B27" i="4"/>
  <c r="B27" i="1" s="1"/>
  <c r="B28" i="4"/>
  <c r="B28" i="1" s="1"/>
  <c r="B29" i="4"/>
  <c r="B29" i="1" s="1"/>
  <c r="B30" i="4"/>
  <c r="B30" i="1" s="1"/>
  <c r="B31" i="4"/>
  <c r="B31" i="1" s="1"/>
  <c r="B32" i="4"/>
  <c r="B32" i="1" s="1"/>
  <c r="B33" i="4"/>
  <c r="B33" i="1" s="1"/>
  <c r="B34" i="4"/>
  <c r="B34" i="1" s="1"/>
  <c r="B35" i="4"/>
  <c r="B35" i="1" s="1"/>
  <c r="B36" i="4"/>
  <c r="B36" i="1" s="1"/>
  <c r="B37" i="4"/>
  <c r="B37" i="1" s="1"/>
  <c r="B38" i="4"/>
  <c r="B38" i="1" s="1"/>
  <c r="B39" i="4"/>
  <c r="B39" i="1" s="1"/>
  <c r="B40" i="4"/>
  <c r="B40" i="1" s="1"/>
  <c r="B41" i="4"/>
  <c r="B41" i="1" s="1"/>
  <c r="B42" i="4"/>
  <c r="B42" i="1" s="1"/>
  <c r="B46" i="1"/>
  <c r="B47" i="1"/>
  <c r="B56" i="1"/>
  <c r="B58" i="1"/>
  <c r="B59" i="1"/>
  <c r="B68" i="1"/>
  <c r="B70" i="1"/>
  <c r="B71" i="1"/>
  <c r="B72" i="1"/>
  <c r="B73" i="1"/>
  <c r="B75" i="1"/>
  <c r="B82" i="1"/>
  <c r="B83" i="1"/>
  <c r="B84" i="1"/>
  <c r="B85" i="1"/>
  <c r="B86" i="1"/>
  <c r="B87" i="1"/>
  <c r="B88" i="1"/>
  <c r="B89" i="1"/>
  <c r="B92" i="1"/>
  <c r="B94" i="1"/>
  <c r="B95" i="1"/>
  <c r="B104" i="1"/>
  <c r="B106" i="1"/>
  <c r="B107" i="1"/>
  <c r="B108" i="1"/>
  <c r="B116" i="1"/>
  <c r="B118" i="1"/>
  <c r="B119" i="1"/>
  <c r="B120" i="1"/>
  <c r="B121" i="1"/>
  <c r="B122" i="1"/>
  <c r="B123" i="1"/>
  <c r="B130" i="1"/>
  <c r="B131" i="1"/>
  <c r="B132" i="1"/>
  <c r="B133" i="1"/>
  <c r="B134" i="1"/>
  <c r="B135" i="1"/>
  <c r="B136" i="1"/>
  <c r="B137" i="1"/>
  <c r="B140" i="1"/>
  <c r="B142" i="1"/>
  <c r="B143" i="1"/>
  <c r="B152" i="1"/>
  <c r="B154" i="1"/>
  <c r="B155" i="1"/>
  <c r="B156" i="1"/>
  <c r="B164" i="1"/>
  <c r="B166" i="1"/>
  <c r="B167" i="1"/>
  <c r="B168" i="1"/>
  <c r="B169" i="1"/>
  <c r="B170" i="1"/>
  <c r="B171" i="1"/>
  <c r="B178" i="1"/>
  <c r="B179" i="1"/>
  <c r="B180" i="1"/>
  <c r="B181" i="1"/>
  <c r="B182" i="1"/>
  <c r="B183" i="1"/>
  <c r="B184" i="1"/>
  <c r="B185" i="1"/>
  <c r="B188" i="1"/>
  <c r="B190" i="1"/>
  <c r="B191" i="1"/>
  <c r="B200" i="1"/>
  <c r="B202" i="1"/>
  <c r="B203" i="1"/>
  <c r="B204" i="1"/>
  <c r="C26" i="1"/>
  <c r="I26" i="1"/>
  <c r="J26" i="1"/>
  <c r="L26" i="1"/>
  <c r="C27" i="1"/>
  <c r="I27" i="1"/>
  <c r="J27" i="1"/>
  <c r="L27" i="1"/>
  <c r="C28" i="1"/>
  <c r="I28" i="1"/>
  <c r="L28" i="1" s="1"/>
  <c r="J28" i="1"/>
  <c r="C29" i="1"/>
  <c r="I29" i="1"/>
  <c r="J29" i="1"/>
  <c r="L29" i="1"/>
  <c r="C30" i="1"/>
  <c r="I30" i="1"/>
  <c r="J30" i="1"/>
  <c r="L30" i="1"/>
  <c r="C31" i="1"/>
  <c r="I31" i="1"/>
  <c r="L31" i="1" s="1"/>
  <c r="J31" i="1"/>
  <c r="C32" i="1"/>
  <c r="I32" i="1"/>
  <c r="J32" i="1"/>
  <c r="L32" i="1"/>
  <c r="C33" i="1"/>
  <c r="I33" i="1"/>
  <c r="J33" i="1"/>
  <c r="L33" i="1"/>
  <c r="C34" i="1"/>
  <c r="I34" i="1"/>
  <c r="L34" i="1" s="1"/>
  <c r="J34" i="1"/>
  <c r="C35" i="1"/>
  <c r="I35" i="1"/>
  <c r="J35" i="1"/>
  <c r="L35" i="1"/>
  <c r="C36" i="1"/>
  <c r="I36" i="1"/>
  <c r="J36" i="1"/>
  <c r="L36" i="1"/>
  <c r="C37" i="1"/>
  <c r="I37" i="1"/>
  <c r="L37" i="1" s="1"/>
  <c r="J37" i="1"/>
  <c r="C38" i="1"/>
  <c r="I38" i="1"/>
  <c r="J38" i="1"/>
  <c r="L38" i="1"/>
  <c r="C39" i="1"/>
  <c r="I39" i="1"/>
  <c r="J39" i="1"/>
  <c r="L39" i="1"/>
  <c r="C40" i="1"/>
  <c r="I40" i="1"/>
  <c r="L40" i="1" s="1"/>
  <c r="J40" i="1"/>
  <c r="C41" i="1"/>
  <c r="I41" i="1"/>
  <c r="J41" i="1"/>
  <c r="L41" i="1"/>
  <c r="C42" i="1"/>
  <c r="I42" i="1"/>
  <c r="J42" i="1"/>
  <c r="L42" i="1"/>
  <c r="C43" i="1"/>
  <c r="I43" i="1"/>
  <c r="J43" i="1"/>
  <c r="C44" i="1"/>
  <c r="I44" i="1"/>
  <c r="J44" i="1"/>
  <c r="L44" i="1" s="1"/>
  <c r="C45" i="1"/>
  <c r="I45" i="1"/>
  <c r="J45" i="1"/>
  <c r="L45" i="1"/>
  <c r="C46" i="1"/>
  <c r="I46" i="1"/>
  <c r="L46" i="1" s="1"/>
  <c r="J46" i="1"/>
  <c r="C47" i="1"/>
  <c r="I47" i="1"/>
  <c r="J47" i="1"/>
  <c r="L47" i="1" s="1"/>
  <c r="C48" i="1"/>
  <c r="I48" i="1"/>
  <c r="J48" i="1"/>
  <c r="L48" i="1" s="1"/>
  <c r="C49" i="1"/>
  <c r="I49" i="1"/>
  <c r="J49" i="1"/>
  <c r="C50" i="1"/>
  <c r="I50" i="1"/>
  <c r="J50" i="1"/>
  <c r="L50" i="1"/>
  <c r="C51" i="1"/>
  <c r="I51" i="1"/>
  <c r="J51" i="1"/>
  <c r="L51" i="1"/>
  <c r="C52" i="1"/>
  <c r="I52" i="1"/>
  <c r="J52" i="1"/>
  <c r="C53" i="1"/>
  <c r="I53" i="1"/>
  <c r="J53" i="1"/>
  <c r="L53" i="1"/>
  <c r="C54" i="1"/>
  <c r="I54" i="1"/>
  <c r="J54" i="1"/>
  <c r="L54" i="1"/>
  <c r="C55" i="1"/>
  <c r="I55" i="1"/>
  <c r="J55" i="1"/>
  <c r="C56" i="1"/>
  <c r="I56" i="1"/>
  <c r="J56" i="1"/>
  <c r="L56" i="1"/>
  <c r="C57" i="1"/>
  <c r="I57" i="1"/>
  <c r="J57" i="1"/>
  <c r="L57" i="1" s="1"/>
  <c r="C58" i="1"/>
  <c r="I58" i="1"/>
  <c r="L58" i="1" s="1"/>
  <c r="J58" i="1"/>
  <c r="C59" i="1"/>
  <c r="I59" i="1"/>
  <c r="J59" i="1"/>
  <c r="L59" i="1" s="1"/>
  <c r="C60" i="1"/>
  <c r="I60" i="1"/>
  <c r="J60" i="1"/>
  <c r="L60" i="1" s="1"/>
  <c r="C61" i="1"/>
  <c r="I61" i="1"/>
  <c r="J61" i="1"/>
  <c r="C62" i="1"/>
  <c r="I62" i="1"/>
  <c r="J62" i="1"/>
  <c r="L62" i="1"/>
  <c r="C63" i="1"/>
  <c r="I63" i="1"/>
  <c r="J63" i="1"/>
  <c r="L63" i="1"/>
  <c r="C64" i="1"/>
  <c r="I64" i="1"/>
  <c r="J64" i="1"/>
  <c r="C65" i="1"/>
  <c r="I65" i="1"/>
  <c r="J65" i="1"/>
  <c r="L65" i="1"/>
  <c r="C66" i="1"/>
  <c r="I66" i="1"/>
  <c r="J66" i="1"/>
  <c r="L66" i="1"/>
  <c r="C67" i="1"/>
  <c r="I67" i="1"/>
  <c r="L67" i="1" s="1"/>
  <c r="J67" i="1"/>
  <c r="C68" i="1"/>
  <c r="I68" i="1"/>
  <c r="J68" i="1"/>
  <c r="L68" i="1"/>
  <c r="C69" i="1"/>
  <c r="I69" i="1"/>
  <c r="J69" i="1"/>
  <c r="L69" i="1"/>
  <c r="C70" i="1"/>
  <c r="I70" i="1"/>
  <c r="L70" i="1" s="1"/>
  <c r="J70" i="1"/>
  <c r="C71" i="1"/>
  <c r="I71" i="1"/>
  <c r="J71" i="1"/>
  <c r="L71" i="1" s="1"/>
  <c r="C72" i="1"/>
  <c r="I72" i="1"/>
  <c r="J72" i="1"/>
  <c r="L72" i="1" s="1"/>
  <c r="C73" i="1"/>
  <c r="I73" i="1"/>
  <c r="J73" i="1"/>
  <c r="C74" i="1"/>
  <c r="I74" i="1"/>
  <c r="J74" i="1"/>
  <c r="L74" i="1"/>
  <c r="C75" i="1"/>
  <c r="I75" i="1"/>
  <c r="J75" i="1"/>
  <c r="L75" i="1"/>
  <c r="C76" i="1"/>
  <c r="I76" i="1"/>
  <c r="J76" i="1"/>
  <c r="C77" i="1"/>
  <c r="I77" i="1"/>
  <c r="J77" i="1"/>
  <c r="L77" i="1"/>
  <c r="C78" i="1"/>
  <c r="I78" i="1"/>
  <c r="J78" i="1"/>
  <c r="L78" i="1"/>
  <c r="C79" i="1"/>
  <c r="I79" i="1"/>
  <c r="J79" i="1"/>
  <c r="C80" i="1"/>
  <c r="I80" i="1"/>
  <c r="J80" i="1"/>
  <c r="L80" i="1" s="1"/>
  <c r="C81" i="1"/>
  <c r="I81" i="1"/>
  <c r="J81" i="1"/>
  <c r="L81" i="1"/>
  <c r="C82" i="1"/>
  <c r="I82" i="1"/>
  <c r="L82" i="1" s="1"/>
  <c r="J82" i="1"/>
  <c r="C83" i="1"/>
  <c r="I83" i="1"/>
  <c r="J83" i="1"/>
  <c r="L83" i="1" s="1"/>
  <c r="C84" i="1"/>
  <c r="I84" i="1"/>
  <c r="J84" i="1"/>
  <c r="L84" i="1" s="1"/>
  <c r="C85" i="1"/>
  <c r="I85" i="1"/>
  <c r="J85" i="1"/>
  <c r="C86" i="1"/>
  <c r="I86" i="1"/>
  <c r="J86" i="1"/>
  <c r="L86" i="1"/>
  <c r="C87" i="1"/>
  <c r="I87" i="1"/>
  <c r="J87" i="1"/>
  <c r="L87" i="1"/>
  <c r="C88" i="1"/>
  <c r="I88" i="1"/>
  <c r="J88" i="1"/>
  <c r="C89" i="1"/>
  <c r="I89" i="1"/>
  <c r="J89" i="1"/>
  <c r="L89" i="1"/>
  <c r="C90" i="1"/>
  <c r="I90" i="1"/>
  <c r="J90" i="1"/>
  <c r="L90" i="1"/>
  <c r="C91" i="1"/>
  <c r="I91" i="1"/>
  <c r="J91" i="1"/>
  <c r="C92" i="1"/>
  <c r="I92" i="1"/>
  <c r="J92" i="1"/>
  <c r="L92" i="1"/>
  <c r="C93" i="1"/>
  <c r="I93" i="1"/>
  <c r="J93" i="1"/>
  <c r="L93" i="1" s="1"/>
  <c r="C94" i="1"/>
  <c r="I94" i="1"/>
  <c r="L94" i="1" s="1"/>
  <c r="J94" i="1"/>
  <c r="C95" i="1"/>
  <c r="I95" i="1"/>
  <c r="J95" i="1"/>
  <c r="L95" i="1" s="1"/>
  <c r="C96" i="1"/>
  <c r="I96" i="1"/>
  <c r="J96" i="1"/>
  <c r="L96" i="1" s="1"/>
  <c r="C97" i="1"/>
  <c r="I97" i="1"/>
  <c r="J97" i="1"/>
  <c r="C98" i="1"/>
  <c r="I98" i="1"/>
  <c r="J98" i="1"/>
  <c r="L98" i="1"/>
  <c r="C99" i="1"/>
  <c r="I99" i="1"/>
  <c r="J99" i="1"/>
  <c r="L99" i="1"/>
  <c r="C100" i="1"/>
  <c r="I100" i="1"/>
  <c r="J100" i="1"/>
  <c r="C101" i="1"/>
  <c r="I101" i="1"/>
  <c r="J101" i="1"/>
  <c r="L101" i="1"/>
  <c r="C102" i="1"/>
  <c r="I102" i="1"/>
  <c r="J102" i="1"/>
  <c r="L102" i="1"/>
  <c r="C103" i="1"/>
  <c r="I103" i="1"/>
  <c r="L103" i="1" s="1"/>
  <c r="J103" i="1"/>
  <c r="C104" i="1"/>
  <c r="I104" i="1"/>
  <c r="J104" i="1"/>
  <c r="L104" i="1"/>
  <c r="C105" i="1"/>
  <c r="I105" i="1"/>
  <c r="J105" i="1"/>
  <c r="L105" i="1"/>
  <c r="C106" i="1"/>
  <c r="I106" i="1"/>
  <c r="L106" i="1" s="1"/>
  <c r="J106" i="1"/>
  <c r="C107" i="1"/>
  <c r="I107" i="1"/>
  <c r="J107" i="1"/>
  <c r="L107" i="1" s="1"/>
  <c r="C108" i="1"/>
  <c r="I108" i="1"/>
  <c r="J108" i="1"/>
  <c r="L108" i="1" s="1"/>
  <c r="C109" i="1"/>
  <c r="I109" i="1"/>
  <c r="J109" i="1"/>
  <c r="C110" i="1"/>
  <c r="I110" i="1"/>
  <c r="J110" i="1"/>
  <c r="L110" i="1"/>
  <c r="C111" i="1"/>
  <c r="I111" i="1"/>
  <c r="J111" i="1"/>
  <c r="L111" i="1"/>
  <c r="C112" i="1"/>
  <c r="I112" i="1"/>
  <c r="J112" i="1"/>
  <c r="C113" i="1"/>
  <c r="I113" i="1"/>
  <c r="J113" i="1"/>
  <c r="L113" i="1"/>
  <c r="C114" i="1"/>
  <c r="I114" i="1"/>
  <c r="J114" i="1"/>
  <c r="L114" i="1"/>
  <c r="C115" i="1"/>
  <c r="I115" i="1"/>
  <c r="J115" i="1"/>
  <c r="C116" i="1"/>
  <c r="I116" i="1"/>
  <c r="J116" i="1"/>
  <c r="L116" i="1" s="1"/>
  <c r="C117" i="1"/>
  <c r="I117" i="1"/>
  <c r="J117" i="1"/>
  <c r="L117" i="1"/>
  <c r="C118" i="1"/>
  <c r="I118" i="1"/>
  <c r="L118" i="1" s="1"/>
  <c r="J118" i="1"/>
  <c r="C119" i="1"/>
  <c r="I119" i="1"/>
  <c r="J119" i="1"/>
  <c r="L119" i="1" s="1"/>
  <c r="C120" i="1"/>
  <c r="I120" i="1"/>
  <c r="J120" i="1"/>
  <c r="L120" i="1" s="1"/>
  <c r="C121" i="1"/>
  <c r="I121" i="1"/>
  <c r="J121" i="1"/>
  <c r="C122" i="1"/>
  <c r="I122" i="1"/>
  <c r="J122" i="1"/>
  <c r="L122" i="1"/>
  <c r="C123" i="1"/>
  <c r="I123" i="1"/>
  <c r="J123" i="1"/>
  <c r="L123" i="1"/>
  <c r="C124" i="1"/>
  <c r="I124" i="1"/>
  <c r="J124" i="1"/>
  <c r="C125" i="1"/>
  <c r="I125" i="1"/>
  <c r="J125" i="1"/>
  <c r="L125" i="1"/>
  <c r="C126" i="1"/>
  <c r="I126" i="1"/>
  <c r="J126" i="1"/>
  <c r="L126" i="1"/>
  <c r="C127" i="1"/>
  <c r="I127" i="1"/>
  <c r="J127" i="1"/>
  <c r="C128" i="1"/>
  <c r="I128" i="1"/>
  <c r="J128" i="1"/>
  <c r="L128" i="1"/>
  <c r="C129" i="1"/>
  <c r="I129" i="1"/>
  <c r="J129" i="1"/>
  <c r="L129" i="1" s="1"/>
  <c r="C130" i="1"/>
  <c r="I130" i="1"/>
  <c r="L130" i="1" s="1"/>
  <c r="J130" i="1"/>
  <c r="C131" i="1"/>
  <c r="I131" i="1"/>
  <c r="J131" i="1"/>
  <c r="L131" i="1" s="1"/>
  <c r="C132" i="1"/>
  <c r="I132" i="1"/>
  <c r="J132" i="1"/>
  <c r="L132" i="1" s="1"/>
  <c r="C133" i="1"/>
  <c r="I133" i="1"/>
  <c r="J133" i="1"/>
  <c r="C134" i="1"/>
  <c r="I134" i="1"/>
  <c r="J134" i="1"/>
  <c r="L134" i="1"/>
  <c r="C135" i="1"/>
  <c r="I135" i="1"/>
  <c r="J135" i="1"/>
  <c r="L135" i="1"/>
  <c r="C136" i="1"/>
  <c r="I136" i="1"/>
  <c r="J136" i="1"/>
  <c r="C137" i="1"/>
  <c r="I137" i="1"/>
  <c r="J137" i="1"/>
  <c r="L137" i="1"/>
  <c r="C138" i="1"/>
  <c r="I138" i="1"/>
  <c r="J138" i="1"/>
  <c r="L138" i="1"/>
  <c r="C139" i="1"/>
  <c r="I139" i="1"/>
  <c r="L139" i="1" s="1"/>
  <c r="J139" i="1"/>
  <c r="C140" i="1"/>
  <c r="I140" i="1"/>
  <c r="J140" i="1"/>
  <c r="L140" i="1"/>
  <c r="C141" i="1"/>
  <c r="I141" i="1"/>
  <c r="J141" i="1"/>
  <c r="L141" i="1"/>
  <c r="C142" i="1"/>
  <c r="I142" i="1"/>
  <c r="L142" i="1" s="1"/>
  <c r="J142" i="1"/>
  <c r="C143" i="1"/>
  <c r="I143" i="1"/>
  <c r="J143" i="1"/>
  <c r="L143" i="1" s="1"/>
  <c r="C144" i="1"/>
  <c r="I144" i="1"/>
  <c r="J144" i="1"/>
  <c r="L144" i="1" s="1"/>
  <c r="C145" i="1"/>
  <c r="I145" i="1"/>
  <c r="J145" i="1"/>
  <c r="C146" i="1"/>
  <c r="I146" i="1"/>
  <c r="J146" i="1"/>
  <c r="L146" i="1"/>
  <c r="C147" i="1"/>
  <c r="I147" i="1"/>
  <c r="J147" i="1"/>
  <c r="L147" i="1"/>
  <c r="C148" i="1"/>
  <c r="I148" i="1"/>
  <c r="J148" i="1"/>
  <c r="C149" i="1"/>
  <c r="I149" i="1"/>
  <c r="J149" i="1"/>
  <c r="L149" i="1"/>
  <c r="C150" i="1"/>
  <c r="I150" i="1"/>
  <c r="J150" i="1"/>
  <c r="L150" i="1"/>
  <c r="C151" i="1"/>
  <c r="I151" i="1"/>
  <c r="J151" i="1"/>
  <c r="C152" i="1"/>
  <c r="I152" i="1"/>
  <c r="J152" i="1"/>
  <c r="L152" i="1" s="1"/>
  <c r="C153" i="1"/>
  <c r="I153" i="1"/>
  <c r="J153" i="1"/>
  <c r="L153" i="1"/>
  <c r="C154" i="1"/>
  <c r="I154" i="1"/>
  <c r="L154" i="1" s="1"/>
  <c r="J154" i="1"/>
  <c r="C155" i="1"/>
  <c r="I155" i="1"/>
  <c r="J155" i="1"/>
  <c r="L155" i="1" s="1"/>
  <c r="C156" i="1"/>
  <c r="I156" i="1"/>
  <c r="J156" i="1"/>
  <c r="L156" i="1" s="1"/>
  <c r="C157" i="1"/>
  <c r="I157" i="1"/>
  <c r="J157" i="1"/>
  <c r="C158" i="1"/>
  <c r="I158" i="1"/>
  <c r="J158" i="1"/>
  <c r="L158" i="1"/>
  <c r="C159" i="1"/>
  <c r="I159" i="1"/>
  <c r="J159" i="1"/>
  <c r="L159" i="1"/>
  <c r="C160" i="1"/>
  <c r="I160" i="1"/>
  <c r="J160" i="1"/>
  <c r="C161" i="1"/>
  <c r="I161" i="1"/>
  <c r="J161" i="1"/>
  <c r="L161" i="1"/>
  <c r="C162" i="1"/>
  <c r="I162" i="1"/>
  <c r="J162" i="1"/>
  <c r="L162" i="1"/>
  <c r="C163" i="1"/>
  <c r="I163" i="1"/>
  <c r="J163" i="1"/>
  <c r="C164" i="1"/>
  <c r="I164" i="1"/>
  <c r="J164" i="1"/>
  <c r="L164" i="1"/>
  <c r="C165" i="1"/>
  <c r="I165" i="1"/>
  <c r="J165" i="1"/>
  <c r="L165" i="1" s="1"/>
  <c r="C166" i="1"/>
  <c r="I166" i="1"/>
  <c r="L166" i="1" s="1"/>
  <c r="J166" i="1"/>
  <c r="C167" i="1"/>
  <c r="I167" i="1"/>
  <c r="J167" i="1"/>
  <c r="L167" i="1" s="1"/>
  <c r="C168" i="1"/>
  <c r="I168" i="1"/>
  <c r="J168" i="1"/>
  <c r="L168" i="1" s="1"/>
  <c r="C169" i="1"/>
  <c r="I169" i="1"/>
  <c r="J169" i="1"/>
  <c r="C170" i="1"/>
  <c r="I170" i="1"/>
  <c r="J170" i="1"/>
  <c r="L170" i="1"/>
  <c r="C171" i="1"/>
  <c r="I171" i="1"/>
  <c r="J171" i="1"/>
  <c r="L171" i="1"/>
  <c r="C172" i="1"/>
  <c r="I172" i="1"/>
  <c r="J172" i="1"/>
  <c r="C173" i="1"/>
  <c r="I173" i="1"/>
  <c r="J173" i="1"/>
  <c r="L173" i="1"/>
  <c r="C174" i="1"/>
  <c r="I174" i="1"/>
  <c r="J174" i="1"/>
  <c r="L174" i="1"/>
  <c r="C175" i="1"/>
  <c r="I175" i="1"/>
  <c r="L175" i="1" s="1"/>
  <c r="J175" i="1"/>
  <c r="C176" i="1"/>
  <c r="I176" i="1"/>
  <c r="J176" i="1"/>
  <c r="L176" i="1"/>
  <c r="C177" i="1"/>
  <c r="I177" i="1"/>
  <c r="J177" i="1"/>
  <c r="L177" i="1"/>
  <c r="C178" i="1"/>
  <c r="I178" i="1"/>
  <c r="L178" i="1" s="1"/>
  <c r="J178" i="1"/>
  <c r="C179" i="1"/>
  <c r="I179" i="1"/>
  <c r="J179" i="1"/>
  <c r="L179" i="1" s="1"/>
  <c r="C180" i="1"/>
  <c r="I180" i="1"/>
  <c r="J180" i="1"/>
  <c r="L180" i="1" s="1"/>
  <c r="C181" i="1"/>
  <c r="I181" i="1"/>
  <c r="J181" i="1"/>
  <c r="C182" i="1"/>
  <c r="I182" i="1"/>
  <c r="J182" i="1"/>
  <c r="L182" i="1"/>
  <c r="C183" i="1"/>
  <c r="I183" i="1"/>
  <c r="J183" i="1"/>
  <c r="L183" i="1"/>
  <c r="C184" i="1"/>
  <c r="I184" i="1"/>
  <c r="J184" i="1"/>
  <c r="C185" i="1"/>
  <c r="I185" i="1"/>
  <c r="J185" i="1"/>
  <c r="L185" i="1"/>
  <c r="C186" i="1"/>
  <c r="I186" i="1"/>
  <c r="J186" i="1"/>
  <c r="L186" i="1"/>
  <c r="C187" i="1"/>
  <c r="I187" i="1"/>
  <c r="J187" i="1"/>
  <c r="C188" i="1"/>
  <c r="I188" i="1"/>
  <c r="J188" i="1"/>
  <c r="L188" i="1" s="1"/>
  <c r="C189" i="1"/>
  <c r="I189" i="1"/>
  <c r="J189" i="1"/>
  <c r="L189" i="1"/>
  <c r="C190" i="1"/>
  <c r="I190" i="1"/>
  <c r="L190" i="1" s="1"/>
  <c r="J190" i="1"/>
  <c r="C191" i="1"/>
  <c r="I191" i="1"/>
  <c r="J191" i="1"/>
  <c r="L191" i="1" s="1"/>
  <c r="C192" i="1"/>
  <c r="I192" i="1"/>
  <c r="J192" i="1"/>
  <c r="L192" i="1" s="1"/>
  <c r="C193" i="1"/>
  <c r="I193" i="1"/>
  <c r="J193" i="1"/>
  <c r="C194" i="1"/>
  <c r="I194" i="1"/>
  <c r="J194" i="1"/>
  <c r="L194" i="1"/>
  <c r="C195" i="1"/>
  <c r="I195" i="1"/>
  <c r="J195" i="1"/>
  <c r="L195" i="1"/>
  <c r="C196" i="1"/>
  <c r="I196" i="1"/>
  <c r="J196" i="1"/>
  <c r="C197" i="1"/>
  <c r="I197" i="1"/>
  <c r="J197" i="1"/>
  <c r="L197" i="1"/>
  <c r="C198" i="1"/>
  <c r="I198" i="1"/>
  <c r="J198" i="1"/>
  <c r="L198" i="1"/>
  <c r="C199" i="1"/>
  <c r="I199" i="1"/>
  <c r="J199" i="1"/>
  <c r="C200" i="1"/>
  <c r="I200" i="1"/>
  <c r="J200" i="1"/>
  <c r="L200" i="1"/>
  <c r="C201" i="1"/>
  <c r="I201" i="1"/>
  <c r="J201" i="1"/>
  <c r="L201" i="1" s="1"/>
  <c r="C202" i="1"/>
  <c r="I202" i="1"/>
  <c r="L202" i="1" s="1"/>
  <c r="J202" i="1"/>
  <c r="C203" i="1"/>
  <c r="I203" i="1"/>
  <c r="J203" i="1"/>
  <c r="L203" i="1" s="1"/>
  <c r="C204" i="1"/>
  <c r="I204" i="1"/>
  <c r="J204" i="1"/>
  <c r="L204" i="1" s="1"/>
  <c r="C205" i="1"/>
  <c r="I205" i="1"/>
  <c r="J205" i="1"/>
  <c r="C206" i="1"/>
  <c r="I206" i="1"/>
  <c r="J206" i="1"/>
  <c r="L206" i="1"/>
  <c r="C207" i="1"/>
  <c r="I207" i="1"/>
  <c r="J207" i="1"/>
  <c r="L207" i="1"/>
  <c r="J6" i="1"/>
  <c r="J7" i="1"/>
  <c r="J8" i="1"/>
  <c r="J9" i="1"/>
  <c r="J10" i="1"/>
  <c r="J11" i="1"/>
  <c r="J12" i="1"/>
  <c r="L12" i="1" s="1"/>
  <c r="H26" i="2"/>
  <c r="L26" i="2"/>
  <c r="O26" i="2"/>
  <c r="Q26" i="2"/>
  <c r="H26" i="4" s="1"/>
  <c r="T26" i="2"/>
  <c r="I26" i="4" s="1"/>
  <c r="W26" i="2"/>
  <c r="J26" i="4" s="1"/>
  <c r="H27" i="2"/>
  <c r="D27" i="4" s="1"/>
  <c r="K27" i="4" s="1"/>
  <c r="L27" i="2"/>
  <c r="O27" i="2"/>
  <c r="Q27" i="2"/>
  <c r="H27" i="4" s="1"/>
  <c r="T27" i="2"/>
  <c r="I27" i="4" s="1"/>
  <c r="W27" i="2"/>
  <c r="J27" i="4" s="1"/>
  <c r="H28" i="2"/>
  <c r="L28" i="2"/>
  <c r="F28" i="4" s="1"/>
  <c r="K28" i="4" s="1"/>
  <c r="O28" i="4" s="1"/>
  <c r="P28" i="4" s="1"/>
  <c r="O28" i="2"/>
  <c r="Q28" i="2"/>
  <c r="T28" i="2"/>
  <c r="W28" i="2"/>
  <c r="H29" i="2"/>
  <c r="L29" i="2"/>
  <c r="O29" i="2"/>
  <c r="G29" i="4" s="1"/>
  <c r="Q29" i="2"/>
  <c r="H29" i="4" s="1"/>
  <c r="T29" i="2"/>
  <c r="I29" i="4" s="1"/>
  <c r="W29" i="2"/>
  <c r="J29" i="4" s="1"/>
  <c r="H30" i="2"/>
  <c r="L30" i="2"/>
  <c r="O30" i="2"/>
  <c r="Q30" i="2"/>
  <c r="T30" i="2"/>
  <c r="W30" i="2"/>
  <c r="H31" i="2"/>
  <c r="D31" i="4" s="1"/>
  <c r="L31" i="2"/>
  <c r="F31" i="4" s="1"/>
  <c r="O31" i="2"/>
  <c r="G31" i="4" s="1"/>
  <c r="Q31" i="2"/>
  <c r="H31" i="4" s="1"/>
  <c r="T31" i="2"/>
  <c r="I31" i="4" s="1"/>
  <c r="W31" i="2"/>
  <c r="J31" i="4" s="1"/>
  <c r="H32" i="2"/>
  <c r="L32" i="2"/>
  <c r="O32" i="2"/>
  <c r="Q32" i="2"/>
  <c r="T32" i="2"/>
  <c r="W32" i="2"/>
  <c r="J32" i="4" s="1"/>
  <c r="H33" i="2"/>
  <c r="D33" i="4" s="1"/>
  <c r="L33" i="2"/>
  <c r="F33" i="4" s="1"/>
  <c r="O33" i="2"/>
  <c r="G33" i="4" s="1"/>
  <c r="Q33" i="2"/>
  <c r="H33" i="4" s="1"/>
  <c r="T33" i="2"/>
  <c r="I33" i="4" s="1"/>
  <c r="W33" i="2"/>
  <c r="J33" i="4" s="1"/>
  <c r="H34" i="2"/>
  <c r="L34" i="2"/>
  <c r="O34" i="2"/>
  <c r="Q34" i="2"/>
  <c r="T34" i="2"/>
  <c r="W34" i="2"/>
  <c r="H35" i="2"/>
  <c r="L35" i="2"/>
  <c r="O35" i="2"/>
  <c r="Q35" i="2"/>
  <c r="T35" i="2"/>
  <c r="I35" i="4" s="1"/>
  <c r="W35" i="2"/>
  <c r="J35" i="4" s="1"/>
  <c r="H36" i="2"/>
  <c r="D36" i="4" s="1"/>
  <c r="K36" i="4" s="1"/>
  <c r="O36" i="4" s="1"/>
  <c r="P36" i="4" s="1"/>
  <c r="L36" i="2"/>
  <c r="O36" i="2"/>
  <c r="Q36" i="2"/>
  <c r="T36" i="2"/>
  <c r="W36" i="2"/>
  <c r="H37" i="2"/>
  <c r="L37" i="2"/>
  <c r="F37" i="4" s="1"/>
  <c r="O37" i="2"/>
  <c r="G37" i="4" s="1"/>
  <c r="Q37" i="2"/>
  <c r="H37" i="4" s="1"/>
  <c r="T37" i="2"/>
  <c r="I37" i="4" s="1"/>
  <c r="W37" i="2"/>
  <c r="J37" i="4" s="1"/>
  <c r="H38" i="2"/>
  <c r="L38" i="2"/>
  <c r="O38" i="2"/>
  <c r="Q38" i="2"/>
  <c r="T38" i="2"/>
  <c r="W38" i="2"/>
  <c r="J38" i="4" s="1"/>
  <c r="H39" i="2"/>
  <c r="D39" i="4" s="1"/>
  <c r="L39" i="2"/>
  <c r="F39" i="4" s="1"/>
  <c r="O39" i="2"/>
  <c r="G39" i="4" s="1"/>
  <c r="Q39" i="2"/>
  <c r="H39" i="4" s="1"/>
  <c r="T39" i="2"/>
  <c r="I39" i="4" s="1"/>
  <c r="W39" i="2"/>
  <c r="J39" i="4" s="1"/>
  <c r="H40" i="2"/>
  <c r="L40" i="2"/>
  <c r="O40" i="2"/>
  <c r="Q40" i="2"/>
  <c r="T40" i="2"/>
  <c r="I40" i="4" s="1"/>
  <c r="W40" i="2"/>
  <c r="J40" i="4" s="1"/>
  <c r="H41" i="2"/>
  <c r="D41" i="4" s="1"/>
  <c r="K41" i="4" s="1"/>
  <c r="O41" i="4" s="1"/>
  <c r="P41" i="4" s="1"/>
  <c r="L41" i="2"/>
  <c r="O41" i="2"/>
  <c r="G41" i="4" s="1"/>
  <c r="Q41" i="2"/>
  <c r="T41" i="2"/>
  <c r="W41" i="2"/>
  <c r="H42" i="2"/>
  <c r="L42" i="2"/>
  <c r="F42" i="4" s="1"/>
  <c r="K42" i="4" s="1"/>
  <c r="O42" i="4" s="1"/>
  <c r="P42" i="4" s="1"/>
  <c r="O42" i="2"/>
  <c r="Q42" i="2"/>
  <c r="T42" i="2"/>
  <c r="W42" i="2"/>
  <c r="H43" i="2"/>
  <c r="L43" i="2"/>
  <c r="O43" i="2"/>
  <c r="Q43" i="2"/>
  <c r="T43" i="2"/>
  <c r="W43" i="2"/>
  <c r="H44" i="2"/>
  <c r="L44" i="2"/>
  <c r="O44" i="2"/>
  <c r="Q44" i="2"/>
  <c r="T44" i="2"/>
  <c r="W44" i="2"/>
  <c r="H45" i="2"/>
  <c r="L45" i="2"/>
  <c r="O45" i="2"/>
  <c r="Q45" i="2"/>
  <c r="T45" i="2"/>
  <c r="W45" i="2"/>
  <c r="H46" i="2"/>
  <c r="L46" i="2"/>
  <c r="O46" i="2"/>
  <c r="Q46" i="2"/>
  <c r="T46" i="2"/>
  <c r="W46" i="2"/>
  <c r="H47" i="2"/>
  <c r="L47" i="2"/>
  <c r="O47" i="2"/>
  <c r="Q47" i="2"/>
  <c r="T47" i="2"/>
  <c r="W47" i="2"/>
  <c r="H48" i="2"/>
  <c r="L48" i="2"/>
  <c r="O48" i="2"/>
  <c r="Q48" i="2"/>
  <c r="T48" i="2"/>
  <c r="W48" i="2"/>
  <c r="H49" i="2"/>
  <c r="L49" i="2"/>
  <c r="O49" i="2"/>
  <c r="Q49" i="2"/>
  <c r="T49" i="2"/>
  <c r="W49" i="2"/>
  <c r="H50" i="2"/>
  <c r="L50" i="2"/>
  <c r="O50" i="2"/>
  <c r="Q50" i="2"/>
  <c r="T50" i="2"/>
  <c r="W50" i="2"/>
  <c r="H51" i="2"/>
  <c r="L51" i="2"/>
  <c r="O51" i="2"/>
  <c r="Q51" i="2"/>
  <c r="T51" i="2"/>
  <c r="W51" i="2"/>
  <c r="H52" i="2"/>
  <c r="L52" i="2"/>
  <c r="O52" i="2"/>
  <c r="Q52" i="2"/>
  <c r="T52" i="2"/>
  <c r="W52" i="2"/>
  <c r="H53" i="2"/>
  <c r="L53" i="2"/>
  <c r="O53" i="2"/>
  <c r="Q53" i="2"/>
  <c r="T53" i="2"/>
  <c r="W53" i="2"/>
  <c r="H54" i="2"/>
  <c r="L54" i="2"/>
  <c r="O54" i="2"/>
  <c r="Q54" i="2"/>
  <c r="T54" i="2"/>
  <c r="W54" i="2"/>
  <c r="H55" i="2"/>
  <c r="L55" i="2"/>
  <c r="O55" i="2"/>
  <c r="Q55" i="2"/>
  <c r="T55" i="2"/>
  <c r="W55" i="2"/>
  <c r="H56" i="2"/>
  <c r="L56" i="2"/>
  <c r="O56" i="2"/>
  <c r="Q56" i="2"/>
  <c r="T56" i="2"/>
  <c r="W56" i="2"/>
  <c r="H57" i="2"/>
  <c r="L57" i="2"/>
  <c r="O57" i="2"/>
  <c r="Q57" i="2"/>
  <c r="T57" i="2"/>
  <c r="W57" i="2"/>
  <c r="H58" i="2"/>
  <c r="L58" i="2"/>
  <c r="O58" i="2"/>
  <c r="Q58" i="2"/>
  <c r="T58" i="2"/>
  <c r="W58" i="2"/>
  <c r="H59" i="2"/>
  <c r="L59" i="2"/>
  <c r="O59" i="2"/>
  <c r="Q59" i="2"/>
  <c r="T59" i="2"/>
  <c r="W59" i="2"/>
  <c r="H60" i="2"/>
  <c r="L60" i="2"/>
  <c r="O60" i="2"/>
  <c r="Q60" i="2"/>
  <c r="T60" i="2"/>
  <c r="W60" i="2"/>
  <c r="H61" i="2"/>
  <c r="L61" i="2"/>
  <c r="O61" i="2"/>
  <c r="Q61" i="2"/>
  <c r="T61" i="2"/>
  <c r="W61" i="2"/>
  <c r="H62" i="2"/>
  <c r="L62" i="2"/>
  <c r="O62" i="2"/>
  <c r="Q62" i="2"/>
  <c r="T62" i="2"/>
  <c r="W62" i="2"/>
  <c r="H63" i="2"/>
  <c r="L63" i="2"/>
  <c r="O63" i="2"/>
  <c r="Q63" i="2"/>
  <c r="T63" i="2"/>
  <c r="W63" i="2"/>
  <c r="H64" i="2"/>
  <c r="L64" i="2"/>
  <c r="O64" i="2"/>
  <c r="Q64" i="2"/>
  <c r="T64" i="2"/>
  <c r="W64" i="2"/>
  <c r="H65" i="2"/>
  <c r="L65" i="2"/>
  <c r="O65" i="2"/>
  <c r="Q65" i="2"/>
  <c r="T65" i="2"/>
  <c r="W65" i="2"/>
  <c r="H66" i="2"/>
  <c r="L66" i="2"/>
  <c r="O66" i="2"/>
  <c r="Q66" i="2"/>
  <c r="T66" i="2"/>
  <c r="W66" i="2"/>
  <c r="H67" i="2"/>
  <c r="L67" i="2"/>
  <c r="O67" i="2"/>
  <c r="Q67" i="2"/>
  <c r="T67" i="2"/>
  <c r="W67" i="2"/>
  <c r="H68" i="2"/>
  <c r="L68" i="2"/>
  <c r="O68" i="2"/>
  <c r="Q68" i="2"/>
  <c r="T68" i="2"/>
  <c r="W68" i="2"/>
  <c r="H69" i="2"/>
  <c r="L69" i="2"/>
  <c r="O69" i="2"/>
  <c r="Q69" i="2"/>
  <c r="T69" i="2"/>
  <c r="W69" i="2"/>
  <c r="H70" i="2"/>
  <c r="L70" i="2"/>
  <c r="O70" i="2"/>
  <c r="Q70" i="2"/>
  <c r="T70" i="2"/>
  <c r="W70" i="2"/>
  <c r="H71" i="2"/>
  <c r="L71" i="2"/>
  <c r="O71" i="2"/>
  <c r="Q71" i="2"/>
  <c r="T71" i="2"/>
  <c r="W71" i="2"/>
  <c r="H72" i="2"/>
  <c r="L72" i="2"/>
  <c r="O72" i="2"/>
  <c r="Q72" i="2"/>
  <c r="T72" i="2"/>
  <c r="W72" i="2"/>
  <c r="H73" i="2"/>
  <c r="L73" i="2"/>
  <c r="O73" i="2"/>
  <c r="Q73" i="2"/>
  <c r="T73" i="2"/>
  <c r="W73" i="2"/>
  <c r="H74" i="2"/>
  <c r="L74" i="2"/>
  <c r="O74" i="2"/>
  <c r="Q74" i="2"/>
  <c r="T74" i="2"/>
  <c r="W74" i="2"/>
  <c r="H75" i="2"/>
  <c r="L75" i="2"/>
  <c r="O75" i="2"/>
  <c r="Q75" i="2"/>
  <c r="T75" i="2"/>
  <c r="W75" i="2"/>
  <c r="H76" i="2"/>
  <c r="L76" i="2"/>
  <c r="O76" i="2"/>
  <c r="Q76" i="2"/>
  <c r="T76" i="2"/>
  <c r="W76" i="2"/>
  <c r="H77" i="2"/>
  <c r="L77" i="2"/>
  <c r="O77" i="2"/>
  <c r="Q77" i="2"/>
  <c r="T77" i="2"/>
  <c r="W77" i="2"/>
  <c r="H78" i="2"/>
  <c r="L78" i="2"/>
  <c r="O78" i="2"/>
  <c r="Q78" i="2"/>
  <c r="T78" i="2"/>
  <c r="W78" i="2"/>
  <c r="H79" i="2"/>
  <c r="L79" i="2"/>
  <c r="O79" i="2"/>
  <c r="Q79" i="2"/>
  <c r="T79" i="2"/>
  <c r="W79" i="2"/>
  <c r="H80" i="2"/>
  <c r="L80" i="2"/>
  <c r="O80" i="2"/>
  <c r="Q80" i="2"/>
  <c r="T80" i="2"/>
  <c r="W80" i="2"/>
  <c r="H81" i="2"/>
  <c r="L81" i="2"/>
  <c r="O81" i="2"/>
  <c r="Q81" i="2"/>
  <c r="T81" i="2"/>
  <c r="W81" i="2"/>
  <c r="H82" i="2"/>
  <c r="L82" i="2"/>
  <c r="O82" i="2"/>
  <c r="Q82" i="2"/>
  <c r="T82" i="2"/>
  <c r="W82" i="2"/>
  <c r="H83" i="2"/>
  <c r="L83" i="2"/>
  <c r="O83" i="2"/>
  <c r="Q83" i="2"/>
  <c r="T83" i="2"/>
  <c r="W83" i="2"/>
  <c r="H84" i="2"/>
  <c r="L84" i="2"/>
  <c r="O84" i="2"/>
  <c r="Q84" i="2"/>
  <c r="T84" i="2"/>
  <c r="W84" i="2"/>
  <c r="H85" i="2"/>
  <c r="L85" i="2"/>
  <c r="O85" i="2"/>
  <c r="Q85" i="2"/>
  <c r="T85" i="2"/>
  <c r="W85" i="2"/>
  <c r="H86" i="2"/>
  <c r="L86" i="2"/>
  <c r="O86" i="2"/>
  <c r="Q86" i="2"/>
  <c r="T86" i="2"/>
  <c r="W86" i="2"/>
  <c r="H87" i="2"/>
  <c r="L87" i="2"/>
  <c r="O87" i="2"/>
  <c r="Q87" i="2"/>
  <c r="T87" i="2"/>
  <c r="W87" i="2"/>
  <c r="H88" i="2"/>
  <c r="L88" i="2"/>
  <c r="O88" i="2"/>
  <c r="Q88" i="2"/>
  <c r="T88" i="2"/>
  <c r="W88" i="2"/>
  <c r="H89" i="2"/>
  <c r="L89" i="2"/>
  <c r="O89" i="2"/>
  <c r="Q89" i="2"/>
  <c r="T89" i="2"/>
  <c r="W89" i="2"/>
  <c r="H90" i="2"/>
  <c r="L90" i="2"/>
  <c r="O90" i="2"/>
  <c r="Q90" i="2"/>
  <c r="T90" i="2"/>
  <c r="W90" i="2"/>
  <c r="H91" i="2"/>
  <c r="L91" i="2"/>
  <c r="O91" i="2"/>
  <c r="Q91" i="2"/>
  <c r="T91" i="2"/>
  <c r="W91" i="2"/>
  <c r="H92" i="2"/>
  <c r="L92" i="2"/>
  <c r="O92" i="2"/>
  <c r="Q92" i="2"/>
  <c r="T92" i="2"/>
  <c r="W92" i="2"/>
  <c r="H93" i="2"/>
  <c r="L93" i="2"/>
  <c r="O93" i="2"/>
  <c r="Q93" i="2"/>
  <c r="T93" i="2"/>
  <c r="W93" i="2"/>
  <c r="H94" i="2"/>
  <c r="L94" i="2"/>
  <c r="O94" i="2"/>
  <c r="Q94" i="2"/>
  <c r="T94" i="2"/>
  <c r="W94" i="2"/>
  <c r="H95" i="2"/>
  <c r="L95" i="2"/>
  <c r="O95" i="2"/>
  <c r="Q95" i="2"/>
  <c r="T95" i="2"/>
  <c r="W95" i="2"/>
  <c r="H96" i="2"/>
  <c r="L96" i="2"/>
  <c r="O96" i="2"/>
  <c r="Q96" i="2"/>
  <c r="T96" i="2"/>
  <c r="W96" i="2"/>
  <c r="H97" i="2"/>
  <c r="L97" i="2"/>
  <c r="O97" i="2"/>
  <c r="Q97" i="2"/>
  <c r="T97" i="2"/>
  <c r="W97" i="2"/>
  <c r="H98" i="2"/>
  <c r="L98" i="2"/>
  <c r="O98" i="2"/>
  <c r="Q98" i="2"/>
  <c r="T98" i="2"/>
  <c r="W98" i="2"/>
  <c r="H99" i="2"/>
  <c r="L99" i="2"/>
  <c r="O99" i="2"/>
  <c r="Q99" i="2"/>
  <c r="T99" i="2"/>
  <c r="W99" i="2"/>
  <c r="H100" i="2"/>
  <c r="L100" i="2"/>
  <c r="O100" i="2"/>
  <c r="Q100" i="2"/>
  <c r="T100" i="2"/>
  <c r="W100" i="2"/>
  <c r="H101" i="2"/>
  <c r="L101" i="2"/>
  <c r="O101" i="2"/>
  <c r="Q101" i="2"/>
  <c r="T101" i="2"/>
  <c r="W101" i="2"/>
  <c r="H102" i="2"/>
  <c r="L102" i="2"/>
  <c r="O102" i="2"/>
  <c r="Q102" i="2"/>
  <c r="T102" i="2"/>
  <c r="W102" i="2"/>
  <c r="H103" i="2"/>
  <c r="L103" i="2"/>
  <c r="O103" i="2"/>
  <c r="Q103" i="2"/>
  <c r="T103" i="2"/>
  <c r="W103" i="2"/>
  <c r="H104" i="2"/>
  <c r="L104" i="2"/>
  <c r="O104" i="2"/>
  <c r="Q104" i="2"/>
  <c r="T104" i="2"/>
  <c r="W104" i="2"/>
  <c r="H105" i="2"/>
  <c r="L105" i="2"/>
  <c r="O105" i="2"/>
  <c r="Q105" i="2"/>
  <c r="T105" i="2"/>
  <c r="W105" i="2"/>
  <c r="H106" i="2"/>
  <c r="L106" i="2"/>
  <c r="O106" i="2"/>
  <c r="Q106" i="2"/>
  <c r="T106" i="2"/>
  <c r="W106" i="2"/>
  <c r="H107" i="2"/>
  <c r="L107" i="2"/>
  <c r="O107" i="2"/>
  <c r="Q107" i="2"/>
  <c r="T107" i="2"/>
  <c r="W107" i="2"/>
  <c r="H108" i="2"/>
  <c r="L108" i="2"/>
  <c r="O108" i="2"/>
  <c r="Q108" i="2"/>
  <c r="T108" i="2"/>
  <c r="W108" i="2"/>
  <c r="H109" i="2"/>
  <c r="L109" i="2"/>
  <c r="O109" i="2"/>
  <c r="Q109" i="2"/>
  <c r="T109" i="2"/>
  <c r="W109" i="2"/>
  <c r="H110" i="2"/>
  <c r="L110" i="2"/>
  <c r="O110" i="2"/>
  <c r="Q110" i="2"/>
  <c r="T110" i="2"/>
  <c r="W110" i="2"/>
  <c r="H111" i="2"/>
  <c r="L111" i="2"/>
  <c r="O111" i="2"/>
  <c r="Q111" i="2"/>
  <c r="T111" i="2"/>
  <c r="W111" i="2"/>
  <c r="H112" i="2"/>
  <c r="L112" i="2"/>
  <c r="O112" i="2"/>
  <c r="Q112" i="2"/>
  <c r="T112" i="2"/>
  <c r="W112" i="2"/>
  <c r="H113" i="2"/>
  <c r="L113" i="2"/>
  <c r="O113" i="2"/>
  <c r="Q113" i="2"/>
  <c r="T113" i="2"/>
  <c r="W113" i="2"/>
  <c r="H114" i="2"/>
  <c r="L114" i="2"/>
  <c r="O114" i="2"/>
  <c r="Q114" i="2"/>
  <c r="T114" i="2"/>
  <c r="W114" i="2"/>
  <c r="H115" i="2"/>
  <c r="L115" i="2"/>
  <c r="O115" i="2"/>
  <c r="Q115" i="2"/>
  <c r="T115" i="2"/>
  <c r="W115" i="2"/>
  <c r="H116" i="2"/>
  <c r="L116" i="2"/>
  <c r="O116" i="2"/>
  <c r="Q116" i="2"/>
  <c r="T116" i="2"/>
  <c r="W116" i="2"/>
  <c r="H117" i="2"/>
  <c r="L117" i="2"/>
  <c r="O117" i="2"/>
  <c r="Q117" i="2"/>
  <c r="T117" i="2"/>
  <c r="W117" i="2"/>
  <c r="H118" i="2"/>
  <c r="L118" i="2"/>
  <c r="O118" i="2"/>
  <c r="Q118" i="2"/>
  <c r="T118" i="2"/>
  <c r="W118" i="2"/>
  <c r="H119" i="2"/>
  <c r="L119" i="2"/>
  <c r="O119" i="2"/>
  <c r="Q119" i="2"/>
  <c r="T119" i="2"/>
  <c r="W119" i="2"/>
  <c r="H120" i="2"/>
  <c r="L120" i="2"/>
  <c r="O120" i="2"/>
  <c r="Q120" i="2"/>
  <c r="T120" i="2"/>
  <c r="W120" i="2"/>
  <c r="H121" i="2"/>
  <c r="L121" i="2"/>
  <c r="O121" i="2"/>
  <c r="Q121" i="2"/>
  <c r="T121" i="2"/>
  <c r="W121" i="2"/>
  <c r="H122" i="2"/>
  <c r="L122" i="2"/>
  <c r="O122" i="2"/>
  <c r="Q122" i="2"/>
  <c r="T122" i="2"/>
  <c r="W122" i="2"/>
  <c r="H123" i="2"/>
  <c r="L123" i="2"/>
  <c r="O123" i="2"/>
  <c r="Q123" i="2"/>
  <c r="T123" i="2"/>
  <c r="W123" i="2"/>
  <c r="H124" i="2"/>
  <c r="L124" i="2"/>
  <c r="O124" i="2"/>
  <c r="Q124" i="2"/>
  <c r="T124" i="2"/>
  <c r="W124" i="2"/>
  <c r="H125" i="2"/>
  <c r="L125" i="2"/>
  <c r="O125" i="2"/>
  <c r="Q125" i="2"/>
  <c r="T125" i="2"/>
  <c r="W125" i="2"/>
  <c r="H126" i="2"/>
  <c r="L126" i="2"/>
  <c r="O126" i="2"/>
  <c r="Q126" i="2"/>
  <c r="T126" i="2"/>
  <c r="W126" i="2"/>
  <c r="H127" i="2"/>
  <c r="L127" i="2"/>
  <c r="O127" i="2"/>
  <c r="Q127" i="2"/>
  <c r="T127" i="2"/>
  <c r="W127" i="2"/>
  <c r="H128" i="2"/>
  <c r="L128" i="2"/>
  <c r="O128" i="2"/>
  <c r="Q128" i="2"/>
  <c r="T128" i="2"/>
  <c r="W128" i="2"/>
  <c r="H129" i="2"/>
  <c r="L129" i="2"/>
  <c r="O129" i="2"/>
  <c r="Q129" i="2"/>
  <c r="T129" i="2"/>
  <c r="W129" i="2"/>
  <c r="H130" i="2"/>
  <c r="L130" i="2"/>
  <c r="O130" i="2"/>
  <c r="Q130" i="2"/>
  <c r="T130" i="2"/>
  <c r="W130" i="2"/>
  <c r="H131" i="2"/>
  <c r="L131" i="2"/>
  <c r="O131" i="2"/>
  <c r="Q131" i="2"/>
  <c r="T131" i="2"/>
  <c r="W131" i="2"/>
  <c r="H132" i="2"/>
  <c r="L132" i="2"/>
  <c r="O132" i="2"/>
  <c r="Q132" i="2"/>
  <c r="T132" i="2"/>
  <c r="W132" i="2"/>
  <c r="H133" i="2"/>
  <c r="L133" i="2"/>
  <c r="O133" i="2"/>
  <c r="Q133" i="2"/>
  <c r="T133" i="2"/>
  <c r="W133" i="2"/>
  <c r="H134" i="2"/>
  <c r="L134" i="2"/>
  <c r="O134" i="2"/>
  <c r="Q134" i="2"/>
  <c r="T134" i="2"/>
  <c r="W134" i="2"/>
  <c r="H135" i="2"/>
  <c r="L135" i="2"/>
  <c r="O135" i="2"/>
  <c r="Q135" i="2"/>
  <c r="T135" i="2"/>
  <c r="W135" i="2"/>
  <c r="H136" i="2"/>
  <c r="L136" i="2"/>
  <c r="O136" i="2"/>
  <c r="Q136" i="2"/>
  <c r="T136" i="2"/>
  <c r="W136" i="2"/>
  <c r="H137" i="2"/>
  <c r="L137" i="2"/>
  <c r="O137" i="2"/>
  <c r="Q137" i="2"/>
  <c r="T137" i="2"/>
  <c r="W137" i="2"/>
  <c r="H138" i="2"/>
  <c r="L138" i="2"/>
  <c r="O138" i="2"/>
  <c r="Q138" i="2"/>
  <c r="T138" i="2"/>
  <c r="W138" i="2"/>
  <c r="H139" i="2"/>
  <c r="L139" i="2"/>
  <c r="O139" i="2"/>
  <c r="Q139" i="2"/>
  <c r="T139" i="2"/>
  <c r="W139" i="2"/>
  <c r="H140" i="2"/>
  <c r="L140" i="2"/>
  <c r="O140" i="2"/>
  <c r="Q140" i="2"/>
  <c r="T140" i="2"/>
  <c r="W140" i="2"/>
  <c r="H141" i="2"/>
  <c r="L141" i="2"/>
  <c r="O141" i="2"/>
  <c r="Q141" i="2"/>
  <c r="T141" i="2"/>
  <c r="W141" i="2"/>
  <c r="H142" i="2"/>
  <c r="L142" i="2"/>
  <c r="O142" i="2"/>
  <c r="Q142" i="2"/>
  <c r="T142" i="2"/>
  <c r="W142" i="2"/>
  <c r="H143" i="2"/>
  <c r="L143" i="2"/>
  <c r="O143" i="2"/>
  <c r="Q143" i="2"/>
  <c r="T143" i="2"/>
  <c r="W143" i="2"/>
  <c r="H144" i="2"/>
  <c r="L144" i="2"/>
  <c r="O144" i="2"/>
  <c r="Q144" i="2"/>
  <c r="T144" i="2"/>
  <c r="W144" i="2"/>
  <c r="H145" i="2"/>
  <c r="L145" i="2"/>
  <c r="O145" i="2"/>
  <c r="Q145" i="2"/>
  <c r="T145" i="2"/>
  <c r="W145" i="2"/>
  <c r="H146" i="2"/>
  <c r="L146" i="2"/>
  <c r="O146" i="2"/>
  <c r="Q146" i="2"/>
  <c r="T146" i="2"/>
  <c r="W146" i="2"/>
  <c r="H147" i="2"/>
  <c r="L147" i="2"/>
  <c r="O147" i="2"/>
  <c r="Q147" i="2"/>
  <c r="T147" i="2"/>
  <c r="W147" i="2"/>
  <c r="H148" i="2"/>
  <c r="L148" i="2"/>
  <c r="O148" i="2"/>
  <c r="Q148" i="2"/>
  <c r="T148" i="2"/>
  <c r="W148" i="2"/>
  <c r="H149" i="2"/>
  <c r="L149" i="2"/>
  <c r="O149" i="2"/>
  <c r="Q149" i="2"/>
  <c r="T149" i="2"/>
  <c r="W149" i="2"/>
  <c r="H150" i="2"/>
  <c r="L150" i="2"/>
  <c r="O150" i="2"/>
  <c r="Q150" i="2"/>
  <c r="T150" i="2"/>
  <c r="W150" i="2"/>
  <c r="H151" i="2"/>
  <c r="L151" i="2"/>
  <c r="O151" i="2"/>
  <c r="Q151" i="2"/>
  <c r="T151" i="2"/>
  <c r="W151" i="2"/>
  <c r="H152" i="2"/>
  <c r="L152" i="2"/>
  <c r="O152" i="2"/>
  <c r="Q152" i="2"/>
  <c r="T152" i="2"/>
  <c r="W152" i="2"/>
  <c r="H153" i="2"/>
  <c r="L153" i="2"/>
  <c r="O153" i="2"/>
  <c r="Q153" i="2"/>
  <c r="T153" i="2"/>
  <c r="W153" i="2"/>
  <c r="H154" i="2"/>
  <c r="L154" i="2"/>
  <c r="O154" i="2"/>
  <c r="Q154" i="2"/>
  <c r="T154" i="2"/>
  <c r="W154" i="2"/>
  <c r="H155" i="2"/>
  <c r="L155" i="2"/>
  <c r="O155" i="2"/>
  <c r="Q155" i="2"/>
  <c r="T155" i="2"/>
  <c r="W155" i="2"/>
  <c r="H156" i="2"/>
  <c r="L156" i="2"/>
  <c r="O156" i="2"/>
  <c r="Q156" i="2"/>
  <c r="T156" i="2"/>
  <c r="W156" i="2"/>
  <c r="H157" i="2"/>
  <c r="L157" i="2"/>
  <c r="O157" i="2"/>
  <c r="Q157" i="2"/>
  <c r="T157" i="2"/>
  <c r="W157" i="2"/>
  <c r="H158" i="2"/>
  <c r="L158" i="2"/>
  <c r="O158" i="2"/>
  <c r="Q158" i="2"/>
  <c r="T158" i="2"/>
  <c r="W158" i="2"/>
  <c r="H159" i="2"/>
  <c r="L159" i="2"/>
  <c r="O159" i="2"/>
  <c r="Q159" i="2"/>
  <c r="T159" i="2"/>
  <c r="W159" i="2"/>
  <c r="H160" i="2"/>
  <c r="L160" i="2"/>
  <c r="O160" i="2"/>
  <c r="Q160" i="2"/>
  <c r="T160" i="2"/>
  <c r="W160" i="2"/>
  <c r="H161" i="2"/>
  <c r="L161" i="2"/>
  <c r="O161" i="2"/>
  <c r="Q161" i="2"/>
  <c r="T161" i="2"/>
  <c r="W161" i="2"/>
  <c r="H162" i="2"/>
  <c r="L162" i="2"/>
  <c r="O162" i="2"/>
  <c r="Q162" i="2"/>
  <c r="T162" i="2"/>
  <c r="W162" i="2"/>
  <c r="H163" i="2"/>
  <c r="L163" i="2"/>
  <c r="O163" i="2"/>
  <c r="Q163" i="2"/>
  <c r="T163" i="2"/>
  <c r="W163" i="2"/>
  <c r="H164" i="2"/>
  <c r="L164" i="2"/>
  <c r="O164" i="2"/>
  <c r="Q164" i="2"/>
  <c r="T164" i="2"/>
  <c r="W164" i="2"/>
  <c r="H165" i="2"/>
  <c r="L165" i="2"/>
  <c r="O165" i="2"/>
  <c r="Q165" i="2"/>
  <c r="T165" i="2"/>
  <c r="W165" i="2"/>
  <c r="H166" i="2"/>
  <c r="L166" i="2"/>
  <c r="O166" i="2"/>
  <c r="Q166" i="2"/>
  <c r="T166" i="2"/>
  <c r="W166" i="2"/>
  <c r="H167" i="2"/>
  <c r="L167" i="2"/>
  <c r="O167" i="2"/>
  <c r="Q167" i="2"/>
  <c r="T167" i="2"/>
  <c r="W167" i="2"/>
  <c r="H168" i="2"/>
  <c r="L168" i="2"/>
  <c r="O168" i="2"/>
  <c r="Q168" i="2"/>
  <c r="T168" i="2"/>
  <c r="W168" i="2"/>
  <c r="H169" i="2"/>
  <c r="L169" i="2"/>
  <c r="O169" i="2"/>
  <c r="Q169" i="2"/>
  <c r="T169" i="2"/>
  <c r="W169" i="2"/>
  <c r="H170" i="2"/>
  <c r="L170" i="2"/>
  <c r="O170" i="2"/>
  <c r="Q170" i="2"/>
  <c r="T170" i="2"/>
  <c r="W170" i="2"/>
  <c r="H171" i="2"/>
  <c r="L171" i="2"/>
  <c r="O171" i="2"/>
  <c r="Q171" i="2"/>
  <c r="T171" i="2"/>
  <c r="W171" i="2"/>
  <c r="H172" i="2"/>
  <c r="L172" i="2"/>
  <c r="O172" i="2"/>
  <c r="Q172" i="2"/>
  <c r="T172" i="2"/>
  <c r="W172" i="2"/>
  <c r="H173" i="2"/>
  <c r="L173" i="2"/>
  <c r="O173" i="2"/>
  <c r="Q173" i="2"/>
  <c r="T173" i="2"/>
  <c r="W173" i="2"/>
  <c r="H174" i="2"/>
  <c r="L174" i="2"/>
  <c r="O174" i="2"/>
  <c r="Q174" i="2"/>
  <c r="T174" i="2"/>
  <c r="W174" i="2"/>
  <c r="H175" i="2"/>
  <c r="L175" i="2"/>
  <c r="O175" i="2"/>
  <c r="Q175" i="2"/>
  <c r="T175" i="2"/>
  <c r="W175" i="2"/>
  <c r="H176" i="2"/>
  <c r="L176" i="2"/>
  <c r="O176" i="2"/>
  <c r="Q176" i="2"/>
  <c r="T176" i="2"/>
  <c r="W176" i="2"/>
  <c r="H177" i="2"/>
  <c r="L177" i="2"/>
  <c r="O177" i="2"/>
  <c r="Q177" i="2"/>
  <c r="T177" i="2"/>
  <c r="W177" i="2"/>
  <c r="H178" i="2"/>
  <c r="L178" i="2"/>
  <c r="O178" i="2"/>
  <c r="Q178" i="2"/>
  <c r="T178" i="2"/>
  <c r="W178" i="2"/>
  <c r="H179" i="2"/>
  <c r="L179" i="2"/>
  <c r="O179" i="2"/>
  <c r="Q179" i="2"/>
  <c r="T179" i="2"/>
  <c r="W179" i="2"/>
  <c r="H180" i="2"/>
  <c r="L180" i="2"/>
  <c r="O180" i="2"/>
  <c r="Q180" i="2"/>
  <c r="T180" i="2"/>
  <c r="W180" i="2"/>
  <c r="H181" i="2"/>
  <c r="L181" i="2"/>
  <c r="O181" i="2"/>
  <c r="Q181" i="2"/>
  <c r="T181" i="2"/>
  <c r="W181" i="2"/>
  <c r="H182" i="2"/>
  <c r="L182" i="2"/>
  <c r="O182" i="2"/>
  <c r="Q182" i="2"/>
  <c r="T182" i="2"/>
  <c r="W182" i="2"/>
  <c r="H183" i="2"/>
  <c r="L183" i="2"/>
  <c r="O183" i="2"/>
  <c r="Q183" i="2"/>
  <c r="T183" i="2"/>
  <c r="W183" i="2"/>
  <c r="H184" i="2"/>
  <c r="L184" i="2"/>
  <c r="O184" i="2"/>
  <c r="Q184" i="2"/>
  <c r="T184" i="2"/>
  <c r="W184" i="2"/>
  <c r="H185" i="2"/>
  <c r="L185" i="2"/>
  <c r="O185" i="2"/>
  <c r="Q185" i="2"/>
  <c r="T185" i="2"/>
  <c r="W185" i="2"/>
  <c r="H186" i="2"/>
  <c r="L186" i="2"/>
  <c r="O186" i="2"/>
  <c r="Q186" i="2"/>
  <c r="T186" i="2"/>
  <c r="W186" i="2"/>
  <c r="H187" i="2"/>
  <c r="L187" i="2"/>
  <c r="O187" i="2"/>
  <c r="Q187" i="2"/>
  <c r="T187" i="2"/>
  <c r="W187" i="2"/>
  <c r="H188" i="2"/>
  <c r="L188" i="2"/>
  <c r="O188" i="2"/>
  <c r="Q188" i="2"/>
  <c r="T188" i="2"/>
  <c r="W188" i="2"/>
  <c r="H189" i="2"/>
  <c r="L189" i="2"/>
  <c r="O189" i="2"/>
  <c r="Q189" i="2"/>
  <c r="T189" i="2"/>
  <c r="W189" i="2"/>
  <c r="H190" i="2"/>
  <c r="L190" i="2"/>
  <c r="O190" i="2"/>
  <c r="Q190" i="2"/>
  <c r="T190" i="2"/>
  <c r="W190" i="2"/>
  <c r="H191" i="2"/>
  <c r="L191" i="2"/>
  <c r="O191" i="2"/>
  <c r="Q191" i="2"/>
  <c r="T191" i="2"/>
  <c r="W191" i="2"/>
  <c r="H192" i="2"/>
  <c r="L192" i="2"/>
  <c r="O192" i="2"/>
  <c r="Q192" i="2"/>
  <c r="T192" i="2"/>
  <c r="W192" i="2"/>
  <c r="H193" i="2"/>
  <c r="L193" i="2"/>
  <c r="O193" i="2"/>
  <c r="Q193" i="2"/>
  <c r="T193" i="2"/>
  <c r="W193" i="2"/>
  <c r="H194" i="2"/>
  <c r="L194" i="2"/>
  <c r="O194" i="2"/>
  <c r="Q194" i="2"/>
  <c r="T194" i="2"/>
  <c r="W194" i="2"/>
  <c r="H195" i="2"/>
  <c r="L195" i="2"/>
  <c r="O195" i="2"/>
  <c r="Q195" i="2"/>
  <c r="T195" i="2"/>
  <c r="W195" i="2"/>
  <c r="H196" i="2"/>
  <c r="L196" i="2"/>
  <c r="O196" i="2"/>
  <c r="Q196" i="2"/>
  <c r="T196" i="2"/>
  <c r="W196" i="2"/>
  <c r="H197" i="2"/>
  <c r="L197" i="2"/>
  <c r="O197" i="2"/>
  <c r="Q197" i="2"/>
  <c r="T197" i="2"/>
  <c r="W197" i="2"/>
  <c r="H198" i="2"/>
  <c r="L198" i="2"/>
  <c r="O198" i="2"/>
  <c r="Q198" i="2"/>
  <c r="T198" i="2"/>
  <c r="W198" i="2"/>
  <c r="H199" i="2"/>
  <c r="L199" i="2"/>
  <c r="O199" i="2"/>
  <c r="Q199" i="2"/>
  <c r="T199" i="2"/>
  <c r="W199" i="2"/>
  <c r="H200" i="2"/>
  <c r="L200" i="2"/>
  <c r="O200" i="2"/>
  <c r="Q200" i="2"/>
  <c r="T200" i="2"/>
  <c r="W200" i="2"/>
  <c r="H201" i="2"/>
  <c r="L201" i="2"/>
  <c r="O201" i="2"/>
  <c r="Q201" i="2"/>
  <c r="T201" i="2"/>
  <c r="W201" i="2"/>
  <c r="H202" i="2"/>
  <c r="L202" i="2"/>
  <c r="O202" i="2"/>
  <c r="Q202" i="2"/>
  <c r="T202" i="2"/>
  <c r="W202" i="2"/>
  <c r="H203" i="2"/>
  <c r="L203" i="2"/>
  <c r="O203" i="2"/>
  <c r="Q203" i="2"/>
  <c r="T203" i="2"/>
  <c r="W203" i="2"/>
  <c r="H204" i="2"/>
  <c r="L204" i="2"/>
  <c r="O204" i="2"/>
  <c r="Q204" i="2"/>
  <c r="T204" i="2"/>
  <c r="W204" i="2"/>
  <c r="H205" i="2"/>
  <c r="L205" i="2"/>
  <c r="O205" i="2"/>
  <c r="Q205" i="2"/>
  <c r="T205" i="2"/>
  <c r="W205" i="2"/>
  <c r="H206" i="2"/>
  <c r="L206" i="2"/>
  <c r="O206" i="2"/>
  <c r="Q206" i="2"/>
  <c r="T206" i="2"/>
  <c r="W206" i="2"/>
  <c r="H207" i="2"/>
  <c r="L207" i="2"/>
  <c r="O207" i="2"/>
  <c r="Q207" i="2"/>
  <c r="T207" i="2"/>
  <c r="W207" i="2"/>
  <c r="H208" i="2"/>
  <c r="L208" i="2"/>
  <c r="O208" i="2"/>
  <c r="Q208" i="2"/>
  <c r="T208" i="2"/>
  <c r="W208" i="2"/>
  <c r="H209" i="2"/>
  <c r="L209" i="2"/>
  <c r="O209" i="2"/>
  <c r="Q209" i="2"/>
  <c r="T209" i="2"/>
  <c r="W209" i="2"/>
  <c r="H210" i="2"/>
  <c r="L210" i="2"/>
  <c r="O210" i="2"/>
  <c r="Q210" i="2"/>
  <c r="T210" i="2"/>
  <c r="W210" i="2"/>
  <c r="H211" i="2"/>
  <c r="L211" i="2"/>
  <c r="O211" i="2"/>
  <c r="Q211" i="2"/>
  <c r="T211" i="2"/>
  <c r="W211" i="2"/>
  <c r="H212" i="2"/>
  <c r="L212" i="2"/>
  <c r="O212" i="2"/>
  <c r="Q212" i="2"/>
  <c r="T212" i="2"/>
  <c r="W212" i="2"/>
  <c r="H213" i="2"/>
  <c r="L213" i="2"/>
  <c r="O213" i="2"/>
  <c r="Q213" i="2"/>
  <c r="T213" i="2"/>
  <c r="W213" i="2"/>
  <c r="H214" i="2"/>
  <c r="L214" i="2"/>
  <c r="O214" i="2"/>
  <c r="Q214" i="2"/>
  <c r="T214" i="2"/>
  <c r="W214" i="2"/>
  <c r="H215" i="2"/>
  <c r="L215" i="2"/>
  <c r="O215" i="2"/>
  <c r="Q215" i="2"/>
  <c r="T215" i="2"/>
  <c r="W215" i="2"/>
  <c r="H216" i="2"/>
  <c r="L216" i="2"/>
  <c r="O216" i="2"/>
  <c r="Q216" i="2"/>
  <c r="T216" i="2"/>
  <c r="W216" i="2"/>
  <c r="H217" i="2"/>
  <c r="L217" i="2"/>
  <c r="O217" i="2"/>
  <c r="Q217" i="2"/>
  <c r="T217" i="2"/>
  <c r="W217" i="2"/>
  <c r="H218" i="2"/>
  <c r="L218" i="2"/>
  <c r="O218" i="2"/>
  <c r="Q218" i="2"/>
  <c r="T218" i="2"/>
  <c r="W218" i="2"/>
  <c r="H219" i="2"/>
  <c r="L219" i="2"/>
  <c r="O219" i="2"/>
  <c r="Q219" i="2"/>
  <c r="T219" i="2"/>
  <c r="W219" i="2"/>
  <c r="H220" i="2"/>
  <c r="L220" i="2"/>
  <c r="O220" i="2"/>
  <c r="Q220" i="2"/>
  <c r="T220" i="2"/>
  <c r="W220" i="2"/>
  <c r="H221" i="2"/>
  <c r="L221" i="2"/>
  <c r="O221" i="2"/>
  <c r="Q221" i="2"/>
  <c r="T221" i="2"/>
  <c r="W221" i="2"/>
  <c r="H222" i="2"/>
  <c r="L222" i="2"/>
  <c r="O222" i="2"/>
  <c r="Q222" i="2"/>
  <c r="T222" i="2"/>
  <c r="W222" i="2"/>
  <c r="H223" i="2"/>
  <c r="L223" i="2"/>
  <c r="O223" i="2"/>
  <c r="Q223" i="2"/>
  <c r="T223" i="2"/>
  <c r="W223" i="2"/>
  <c r="H224" i="2"/>
  <c r="L224" i="2"/>
  <c r="O224" i="2"/>
  <c r="Q224" i="2"/>
  <c r="T224" i="2"/>
  <c r="W224" i="2"/>
  <c r="H225" i="2"/>
  <c r="L225" i="2"/>
  <c r="O225" i="2"/>
  <c r="Q225" i="2"/>
  <c r="T225" i="2"/>
  <c r="W225" i="2"/>
  <c r="H226" i="2"/>
  <c r="L226" i="2"/>
  <c r="O226" i="2"/>
  <c r="Q226" i="2"/>
  <c r="T226" i="2"/>
  <c r="W226" i="2"/>
  <c r="H227" i="2"/>
  <c r="L227" i="2"/>
  <c r="O227" i="2"/>
  <c r="Q227" i="2"/>
  <c r="T227" i="2"/>
  <c r="W227" i="2"/>
  <c r="H228" i="2"/>
  <c r="L228" i="2"/>
  <c r="O228" i="2"/>
  <c r="Q228" i="2"/>
  <c r="T228" i="2"/>
  <c r="W228" i="2"/>
  <c r="H229" i="2"/>
  <c r="L229" i="2"/>
  <c r="O229" i="2"/>
  <c r="Q229" i="2"/>
  <c r="T229" i="2"/>
  <c r="W229" i="2"/>
  <c r="H230" i="2"/>
  <c r="L230" i="2"/>
  <c r="O230" i="2"/>
  <c r="Q230" i="2"/>
  <c r="T230" i="2"/>
  <c r="W230" i="2"/>
  <c r="H231" i="2"/>
  <c r="L231" i="2"/>
  <c r="O231" i="2"/>
  <c r="Q231" i="2"/>
  <c r="T231" i="2"/>
  <c r="W231" i="2"/>
  <c r="H232" i="2"/>
  <c r="L232" i="2"/>
  <c r="O232" i="2"/>
  <c r="Q232" i="2"/>
  <c r="T232" i="2"/>
  <c r="W232" i="2"/>
  <c r="H233" i="2"/>
  <c r="L233" i="2"/>
  <c r="O233" i="2"/>
  <c r="Q233" i="2"/>
  <c r="T233" i="2"/>
  <c r="W233" i="2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D26" i="4"/>
  <c r="E26" i="4"/>
  <c r="F26" i="4"/>
  <c r="G26" i="4"/>
  <c r="E27" i="4"/>
  <c r="F27" i="4"/>
  <c r="G27" i="4"/>
  <c r="D28" i="4"/>
  <c r="E28" i="4"/>
  <c r="G28" i="4"/>
  <c r="H28" i="4"/>
  <c r="I28" i="4"/>
  <c r="J28" i="4"/>
  <c r="D29" i="4"/>
  <c r="E29" i="4"/>
  <c r="F29" i="4"/>
  <c r="D30" i="4"/>
  <c r="E30" i="4"/>
  <c r="F30" i="4"/>
  <c r="G30" i="4"/>
  <c r="H30" i="4"/>
  <c r="I30" i="4"/>
  <c r="J30" i="4"/>
  <c r="K30" i="4"/>
  <c r="E31" i="4"/>
  <c r="D32" i="4"/>
  <c r="E32" i="4"/>
  <c r="F32" i="4"/>
  <c r="G32" i="4"/>
  <c r="H32" i="4"/>
  <c r="I32" i="4"/>
  <c r="E33" i="4"/>
  <c r="D34" i="4"/>
  <c r="K34" i="4" s="1"/>
  <c r="E34" i="4"/>
  <c r="F34" i="4"/>
  <c r="G34" i="4"/>
  <c r="H34" i="4"/>
  <c r="I34" i="4"/>
  <c r="J34" i="4"/>
  <c r="D35" i="4"/>
  <c r="E35" i="4"/>
  <c r="F35" i="4"/>
  <c r="G35" i="4"/>
  <c r="H35" i="4"/>
  <c r="E36" i="4"/>
  <c r="F36" i="4"/>
  <c r="G36" i="4"/>
  <c r="H36" i="4"/>
  <c r="I36" i="4"/>
  <c r="J36" i="4"/>
  <c r="D37" i="4"/>
  <c r="K37" i="4" s="1"/>
  <c r="O37" i="4" s="1"/>
  <c r="P37" i="4" s="1"/>
  <c r="E37" i="4"/>
  <c r="D38" i="4"/>
  <c r="E38" i="4"/>
  <c r="F38" i="4"/>
  <c r="G38" i="4"/>
  <c r="H38" i="4"/>
  <c r="I38" i="4"/>
  <c r="E39" i="4"/>
  <c r="D40" i="4"/>
  <c r="K40" i="4" s="1"/>
  <c r="O40" i="4" s="1"/>
  <c r="P40" i="4" s="1"/>
  <c r="E40" i="4"/>
  <c r="F40" i="4"/>
  <c r="G40" i="4"/>
  <c r="H40" i="4"/>
  <c r="E41" i="4"/>
  <c r="F41" i="4"/>
  <c r="H41" i="4"/>
  <c r="I41" i="4"/>
  <c r="J41" i="4"/>
  <c r="D42" i="4"/>
  <c r="E42" i="4"/>
  <c r="G42" i="4"/>
  <c r="H42" i="4"/>
  <c r="I42" i="4"/>
  <c r="J42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E8" i="4"/>
  <c r="E9" i="4"/>
  <c r="E10" i="4"/>
  <c r="E11" i="4"/>
  <c r="E12" i="4"/>
  <c r="E13" i="4"/>
  <c r="E14" i="4"/>
  <c r="E15" i="4"/>
  <c r="E16" i="4"/>
  <c r="E17" i="4"/>
  <c r="K17" i="4" s="1"/>
  <c r="O17" i="4" s="1"/>
  <c r="E18" i="4"/>
  <c r="K18" i="4" s="1"/>
  <c r="E19" i="4"/>
  <c r="K19" i="4" s="1"/>
  <c r="O19" i="4" s="1"/>
  <c r="E20" i="4"/>
  <c r="E21" i="4"/>
  <c r="E22" i="4"/>
  <c r="K22" i="4" s="1"/>
  <c r="O22" i="4" s="1"/>
  <c r="E23" i="4"/>
  <c r="E24" i="4"/>
  <c r="E25" i="4"/>
  <c r="E7" i="4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6" i="1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I6" i="1"/>
  <c r="J16" i="1"/>
  <c r="J17" i="1"/>
  <c r="J18" i="1"/>
  <c r="J19" i="1"/>
  <c r="J20" i="1"/>
  <c r="J21" i="1"/>
  <c r="J22" i="1"/>
  <c r="J23" i="1"/>
  <c r="J24" i="1"/>
  <c r="J25" i="1"/>
  <c r="I16" i="1"/>
  <c r="I17" i="1"/>
  <c r="I18" i="1"/>
  <c r="I19" i="1"/>
  <c r="I20" i="1"/>
  <c r="I21" i="1"/>
  <c r="I22" i="1"/>
  <c r="I23" i="1"/>
  <c r="I24" i="1"/>
  <c r="I25" i="1"/>
  <c r="C25" i="1"/>
  <c r="C22" i="1"/>
  <c r="C23" i="1"/>
  <c r="C24" i="1"/>
  <c r="C16" i="1"/>
  <c r="C17" i="1"/>
  <c r="C18" i="1"/>
  <c r="C19" i="1"/>
  <c r="C20" i="1"/>
  <c r="C21" i="1"/>
  <c r="K20" i="4"/>
  <c r="O20" i="4" s="1"/>
  <c r="D25" i="4"/>
  <c r="K25" i="4" s="1"/>
  <c r="O25" i="4" s="1"/>
  <c r="F25" i="4"/>
  <c r="G25" i="4"/>
  <c r="H25" i="4"/>
  <c r="I25" i="4"/>
  <c r="J25" i="4"/>
  <c r="N25" i="4"/>
  <c r="W7" i="2"/>
  <c r="J7" i="4" s="1"/>
  <c r="W8" i="2"/>
  <c r="J8" i="4" s="1"/>
  <c r="W9" i="2"/>
  <c r="J9" i="4" s="1"/>
  <c r="W10" i="2"/>
  <c r="J10" i="4" s="1"/>
  <c r="W11" i="2"/>
  <c r="J11" i="4" s="1"/>
  <c r="W12" i="2"/>
  <c r="J12" i="4" s="1"/>
  <c r="W13" i="2"/>
  <c r="J13" i="4" s="1"/>
  <c r="W14" i="2"/>
  <c r="J14" i="4" s="1"/>
  <c r="W15" i="2"/>
  <c r="J15" i="4" s="1"/>
  <c r="W16" i="2"/>
  <c r="J16" i="4" s="1"/>
  <c r="W17" i="2"/>
  <c r="J17" i="4" s="1"/>
  <c r="W18" i="2"/>
  <c r="J18" i="4" s="1"/>
  <c r="W19" i="2"/>
  <c r="W20" i="2"/>
  <c r="W21" i="2"/>
  <c r="J21" i="4" s="1"/>
  <c r="W22" i="2"/>
  <c r="J22" i="4" s="1"/>
  <c r="W23" i="2"/>
  <c r="J23" i="4" s="1"/>
  <c r="W24" i="2"/>
  <c r="J24" i="4" s="1"/>
  <c r="W25" i="2"/>
  <c r="T7" i="2"/>
  <c r="I7" i="4" s="1"/>
  <c r="T8" i="2"/>
  <c r="I8" i="4" s="1"/>
  <c r="T9" i="2"/>
  <c r="I9" i="4" s="1"/>
  <c r="T10" i="2"/>
  <c r="I10" i="4" s="1"/>
  <c r="T11" i="2"/>
  <c r="I11" i="4" s="1"/>
  <c r="T12" i="2"/>
  <c r="I12" i="4" s="1"/>
  <c r="T13" i="2"/>
  <c r="I13" i="4" s="1"/>
  <c r="T14" i="2"/>
  <c r="I14" i="4" s="1"/>
  <c r="T15" i="2"/>
  <c r="I15" i="4" s="1"/>
  <c r="T16" i="2"/>
  <c r="I16" i="4" s="1"/>
  <c r="T17" i="2"/>
  <c r="I17" i="4" s="1"/>
  <c r="T18" i="2"/>
  <c r="I18" i="4" s="1"/>
  <c r="T19" i="2"/>
  <c r="T20" i="2"/>
  <c r="T21" i="2"/>
  <c r="T22" i="2"/>
  <c r="I22" i="4" s="1"/>
  <c r="T23" i="2"/>
  <c r="I23" i="4" s="1"/>
  <c r="T24" i="2"/>
  <c r="I24" i="4" s="1"/>
  <c r="T25" i="2"/>
  <c r="Q7" i="2"/>
  <c r="Q8" i="2"/>
  <c r="Q9" i="2"/>
  <c r="Q10" i="2"/>
  <c r="Q11" i="2"/>
  <c r="H11" i="4" s="1"/>
  <c r="Q12" i="2"/>
  <c r="H12" i="4" s="1"/>
  <c r="Q13" i="2"/>
  <c r="H13" i="4" s="1"/>
  <c r="Q14" i="2"/>
  <c r="H14" i="4" s="1"/>
  <c r="Q15" i="2"/>
  <c r="H15" i="4" s="1"/>
  <c r="Q16" i="2"/>
  <c r="H16" i="4" s="1"/>
  <c r="Q17" i="2"/>
  <c r="H17" i="4" s="1"/>
  <c r="Q18" i="2"/>
  <c r="H18" i="4" s="1"/>
  <c r="Q19" i="2"/>
  <c r="Q20" i="2"/>
  <c r="Q21" i="2"/>
  <c r="Q22" i="2"/>
  <c r="Q23" i="2"/>
  <c r="H23" i="4" s="1"/>
  <c r="Q24" i="2"/>
  <c r="H24" i="4" s="1"/>
  <c r="Q25" i="2"/>
  <c r="O7" i="2"/>
  <c r="G7" i="4" s="1"/>
  <c r="O8" i="2"/>
  <c r="G8" i="4" s="1"/>
  <c r="O9" i="2"/>
  <c r="O10" i="2"/>
  <c r="G10" i="4" s="1"/>
  <c r="O11" i="2"/>
  <c r="G11" i="4" s="1"/>
  <c r="O12" i="2"/>
  <c r="O13" i="2"/>
  <c r="O14" i="2"/>
  <c r="O15" i="2"/>
  <c r="G15" i="4" s="1"/>
  <c r="O16" i="2"/>
  <c r="G16" i="4" s="1"/>
  <c r="O17" i="2"/>
  <c r="G17" i="4" s="1"/>
  <c r="O18" i="2"/>
  <c r="G18" i="4" s="1"/>
  <c r="O19" i="2"/>
  <c r="G19" i="4" s="1"/>
  <c r="O20" i="2"/>
  <c r="O21" i="2"/>
  <c r="O22" i="2"/>
  <c r="O23" i="2"/>
  <c r="O24" i="2"/>
  <c r="O25" i="2"/>
  <c r="L7" i="2"/>
  <c r="F7" i="4" s="1"/>
  <c r="L8" i="2"/>
  <c r="F8" i="4" s="1"/>
  <c r="L9" i="2"/>
  <c r="F9" i="4" s="1"/>
  <c r="L10" i="2"/>
  <c r="F10" i="4" s="1"/>
  <c r="L11" i="2"/>
  <c r="F11" i="4" s="1"/>
  <c r="L12" i="2"/>
  <c r="F12" i="4" s="1"/>
  <c r="L13" i="2"/>
  <c r="L14" i="2"/>
  <c r="L15" i="2"/>
  <c r="L16" i="2"/>
  <c r="L17" i="2"/>
  <c r="F17" i="4" s="1"/>
  <c r="L18" i="2"/>
  <c r="F18" i="4" s="1"/>
  <c r="L19" i="2"/>
  <c r="F19" i="4" s="1"/>
  <c r="L20" i="2"/>
  <c r="F20" i="4" s="1"/>
  <c r="L21" i="2"/>
  <c r="L22" i="2"/>
  <c r="L23" i="2"/>
  <c r="L24" i="2"/>
  <c r="L25" i="2"/>
  <c r="J19" i="4"/>
  <c r="J20" i="4"/>
  <c r="I19" i="4"/>
  <c r="I20" i="4"/>
  <c r="I21" i="4"/>
  <c r="H8" i="4"/>
  <c r="H9" i="4"/>
  <c r="H10" i="4"/>
  <c r="H19" i="4"/>
  <c r="H20" i="4"/>
  <c r="H21" i="4"/>
  <c r="H22" i="4"/>
  <c r="G9" i="4"/>
  <c r="G12" i="4"/>
  <c r="G13" i="4"/>
  <c r="G14" i="4"/>
  <c r="G20" i="4"/>
  <c r="G21" i="4"/>
  <c r="G22" i="4"/>
  <c r="G23" i="4"/>
  <c r="G24" i="4"/>
  <c r="F13" i="4"/>
  <c r="F14" i="4"/>
  <c r="F15" i="4"/>
  <c r="F16" i="4"/>
  <c r="F21" i="4"/>
  <c r="K21" i="4" s="1"/>
  <c r="O21" i="4" s="1"/>
  <c r="F22" i="4"/>
  <c r="F23" i="4"/>
  <c r="F24" i="4"/>
  <c r="D12" i="4"/>
  <c r="D13" i="4"/>
  <c r="K13" i="4" s="1"/>
  <c r="O13" i="4" s="1"/>
  <c r="D14" i="4"/>
  <c r="K14" i="4" s="1"/>
  <c r="O14" i="4" s="1"/>
  <c r="D15" i="4"/>
  <c r="K15" i="4" s="1"/>
  <c r="O15" i="4" s="1"/>
  <c r="D24" i="4"/>
  <c r="K24" i="4" s="1"/>
  <c r="O24" i="4" s="1"/>
  <c r="P24" i="4" s="1"/>
  <c r="C8" i="4"/>
  <c r="C9" i="4"/>
  <c r="C10" i="4"/>
  <c r="C11" i="4"/>
  <c r="W6" i="2"/>
  <c r="J6" i="4" s="1"/>
  <c r="T6" i="2"/>
  <c r="I6" i="4" s="1"/>
  <c r="Q6" i="2"/>
  <c r="H6" i="4" s="1"/>
  <c r="O6" i="2"/>
  <c r="G6" i="4" s="1"/>
  <c r="L6" i="2"/>
  <c r="F6" i="4" s="1"/>
  <c r="H7" i="2"/>
  <c r="D7" i="4" s="1"/>
  <c r="H8" i="2"/>
  <c r="D8" i="4" s="1"/>
  <c r="H9" i="2"/>
  <c r="D9" i="4" s="1"/>
  <c r="H10" i="2"/>
  <c r="D10" i="4" s="1"/>
  <c r="H11" i="2"/>
  <c r="D11" i="4" s="1"/>
  <c r="H12" i="2"/>
  <c r="H13" i="2"/>
  <c r="H14" i="2"/>
  <c r="H15" i="2"/>
  <c r="H16" i="2"/>
  <c r="D16" i="4" s="1"/>
  <c r="H17" i="2"/>
  <c r="D17" i="4" s="1"/>
  <c r="H18" i="2"/>
  <c r="D18" i="4" s="1"/>
  <c r="H19" i="2"/>
  <c r="D19" i="4" s="1"/>
  <c r="H20" i="2"/>
  <c r="D20" i="4" s="1"/>
  <c r="H21" i="2"/>
  <c r="D21" i="4" s="1"/>
  <c r="H22" i="2"/>
  <c r="D22" i="4" s="1"/>
  <c r="H23" i="2"/>
  <c r="D23" i="4" s="1"/>
  <c r="H24" i="2"/>
  <c r="H25" i="2"/>
  <c r="H6" i="2"/>
  <c r="D6" i="4" s="1"/>
  <c r="J13" i="1"/>
  <c r="J14" i="1"/>
  <c r="J15" i="1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C6" i="4"/>
  <c r="E6" i="4"/>
  <c r="N6" i="4"/>
  <c r="C7" i="4"/>
  <c r="H7" i="4"/>
  <c r="N7" i="4"/>
  <c r="C15" i="1"/>
  <c r="C14" i="1"/>
  <c r="C13" i="1"/>
  <c r="C12" i="1"/>
  <c r="C11" i="1"/>
  <c r="C10" i="1"/>
  <c r="C9" i="1"/>
  <c r="C8" i="1"/>
  <c r="C7" i="1"/>
  <c r="C6" i="1"/>
  <c r="L187" i="1" l="1"/>
  <c r="L151" i="1"/>
  <c r="L115" i="1"/>
  <c r="L79" i="1"/>
  <c r="L43" i="1"/>
  <c r="L181" i="1"/>
  <c r="L145" i="1"/>
  <c r="L73" i="1"/>
  <c r="L184" i="1"/>
  <c r="L148" i="1"/>
  <c r="L112" i="1"/>
  <c r="L76" i="1"/>
  <c r="L193" i="1"/>
  <c r="L121" i="1"/>
  <c r="L49" i="1"/>
  <c r="L196" i="1"/>
  <c r="L160" i="1"/>
  <c r="L124" i="1"/>
  <c r="L88" i="1"/>
  <c r="L52" i="1"/>
  <c r="L199" i="1"/>
  <c r="L163" i="1"/>
  <c r="L127" i="1"/>
  <c r="L91" i="1"/>
  <c r="L55" i="1"/>
  <c r="L157" i="1"/>
  <c r="L85" i="1"/>
  <c r="L205" i="1"/>
  <c r="L169" i="1"/>
  <c r="L133" i="1"/>
  <c r="L97" i="1"/>
  <c r="L61" i="1"/>
  <c r="L109" i="1"/>
  <c r="L172" i="1"/>
  <c r="L136" i="1"/>
  <c r="L100" i="1"/>
  <c r="L64" i="1"/>
  <c r="K39" i="4"/>
  <c r="O39" i="4" s="1"/>
  <c r="P39" i="4" s="1"/>
  <c r="K33" i="4"/>
  <c r="O33" i="4" s="1"/>
  <c r="P33" i="4" s="1"/>
  <c r="K31" i="4"/>
  <c r="K26" i="4"/>
  <c r="O26" i="4" s="1"/>
  <c r="P26" i="4" s="1"/>
  <c r="O31" i="4"/>
  <c r="P31" i="4" s="1"/>
  <c r="K29" i="4"/>
  <c r="O29" i="4" s="1"/>
  <c r="P29" i="4" s="1"/>
  <c r="O30" i="4"/>
  <c r="P30" i="4" s="1"/>
  <c r="K32" i="4"/>
  <c r="O32" i="4" s="1"/>
  <c r="P32" i="4" s="1"/>
  <c r="K35" i="4"/>
  <c r="O35" i="4"/>
  <c r="P35" i="4" s="1"/>
  <c r="O34" i="4"/>
  <c r="P34" i="4" s="1"/>
  <c r="O27" i="4"/>
  <c r="P27" i="4" s="1"/>
  <c r="K38" i="4"/>
  <c r="O38" i="4" s="1"/>
  <c r="P38" i="4" s="1"/>
  <c r="K16" i="4"/>
  <c r="O16" i="4" s="1"/>
  <c r="K23" i="4"/>
  <c r="O23" i="4" s="1"/>
  <c r="P23" i="4" s="1"/>
  <c r="O18" i="4"/>
  <c r="P18" i="4" s="1"/>
  <c r="K10" i="4"/>
  <c r="O10" i="4" s="1"/>
  <c r="P10" i="4" s="1"/>
  <c r="K11" i="4"/>
  <c r="O11" i="4" s="1"/>
  <c r="P11" i="4" s="1"/>
  <c r="K9" i="4"/>
  <c r="O9" i="4" s="1"/>
  <c r="P9" i="4" s="1"/>
  <c r="K8" i="4"/>
  <c r="O8" i="4" s="1"/>
  <c r="K7" i="4"/>
  <c r="O7" i="4" s="1"/>
  <c r="P7" i="4" s="1"/>
  <c r="K6" i="4"/>
  <c r="O6" i="4" s="1"/>
  <c r="K12" i="4"/>
  <c r="O12" i="4" s="1"/>
  <c r="P12" i="4" s="1"/>
  <c r="P6" i="4"/>
  <c r="P13" i="4"/>
  <c r="P14" i="4"/>
  <c r="P25" i="4"/>
  <c r="P17" i="4"/>
  <c r="P16" i="4"/>
  <c r="P22" i="4"/>
  <c r="P21" i="4"/>
  <c r="P20" i="4"/>
  <c r="P8" i="4"/>
  <c r="P19" i="4"/>
  <c r="P15" i="4"/>
  <c r="I7" i="1"/>
  <c r="L7" i="1" s="1"/>
  <c r="I8" i="1"/>
  <c r="L8" i="1" s="1"/>
  <c r="I9" i="1"/>
  <c r="L9" i="1" s="1"/>
  <c r="I10" i="1"/>
  <c r="L10" i="1" s="1"/>
  <c r="I11" i="1"/>
  <c r="L11" i="1" s="1"/>
  <c r="I12" i="1"/>
  <c r="I13" i="1"/>
  <c r="I14" i="1"/>
  <c r="I15" i="1"/>
  <c r="B6" i="4" l="1"/>
  <c r="B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<sst xmlns="http://schemas.openxmlformats.org/spreadsheetml/2006/main" count="722" uniqueCount="408">
  <si>
    <t>TITULO</t>
  </si>
  <si>
    <t>FORNECEDORES</t>
  </si>
  <si>
    <t>ID do Fornecedor</t>
  </si>
  <si>
    <t>Nome do Fornecedor</t>
  </si>
  <si>
    <t>QUALIDADE, AMBIENTE E SEGURANÇA</t>
  </si>
  <si>
    <t>QUANTIDADE</t>
  </si>
  <si>
    <t>Ambiente</t>
  </si>
  <si>
    <t>Segurança</t>
  </si>
  <si>
    <t xml:space="preserve">Qualidade </t>
  </si>
  <si>
    <t>CUMPRIMENTO DE PRAZOS</t>
  </si>
  <si>
    <t>AVALIAÇÃO GERAL</t>
  </si>
  <si>
    <t>Avaliação de Fornecimento</t>
  </si>
  <si>
    <t>Preço</t>
  </si>
  <si>
    <t>Relações Comerciais</t>
  </si>
  <si>
    <t>AVALIAÇÃO GERAL ANUAL</t>
  </si>
  <si>
    <t>AVALIAÇÃO DE FORNECEDORES</t>
  </si>
  <si>
    <t>ID</t>
  </si>
  <si>
    <t>Critério</t>
  </si>
  <si>
    <t>SST</t>
  </si>
  <si>
    <t>Qualidade</t>
  </si>
  <si>
    <t>Rastreabilidade</t>
  </si>
  <si>
    <t>Capacidade de fornecimento</t>
  </si>
  <si>
    <t>CRITÉRIO DE SELEÇÃO DOS FORNECEDORES</t>
  </si>
  <si>
    <t>NOTA FINAL</t>
  </si>
  <si>
    <t>NOME DO FORNECEDOR</t>
  </si>
  <si>
    <t>CONFORMIDADE LEGAL</t>
  </si>
  <si>
    <t>TRANSPORTE</t>
  </si>
  <si>
    <t>QUALIDADE</t>
  </si>
  <si>
    <t>OPERACIONAL</t>
  </si>
  <si>
    <t xml:space="preserve">REPUTAÇÃO </t>
  </si>
  <si>
    <t>Histórico de Mercado</t>
  </si>
  <si>
    <t>SUSTENTABILIDADE</t>
  </si>
  <si>
    <t>Empresa licenciada (S/N)</t>
  </si>
  <si>
    <t>Cumprimento HACCP (S/N)</t>
  </si>
  <si>
    <t>Formação dos trabalhadores (Opcional)</t>
  </si>
  <si>
    <t>Condições de higiene (Importante)</t>
  </si>
  <si>
    <t>Conformidade do Produto (Obrigatório)</t>
  </si>
  <si>
    <t>Cadeia de frio (Obrigatório)</t>
  </si>
  <si>
    <t>Ética (importante)</t>
  </si>
  <si>
    <t>Possui um SGA (Importante)</t>
  </si>
  <si>
    <t xml:space="preserve">Valor </t>
  </si>
  <si>
    <t>SELEÇÃO DOS FORNECEDORES</t>
  </si>
  <si>
    <t>VALOR</t>
  </si>
  <si>
    <t>MÉDIA</t>
  </si>
  <si>
    <t>MEDIA</t>
  </si>
  <si>
    <t>Média (Ind)</t>
  </si>
  <si>
    <t xml:space="preserve">Preço </t>
  </si>
  <si>
    <t>Ptáticas Ambientais Sustentáveis (Importante)</t>
  </si>
  <si>
    <t xml:space="preserve">Critério ara determinar o valor </t>
  </si>
  <si>
    <t>Acima da Média</t>
  </si>
  <si>
    <t>Na média</t>
  </si>
  <si>
    <t>Abaixo da Média</t>
  </si>
  <si>
    <t>CRITÉRIO DE VALOR</t>
  </si>
  <si>
    <t xml:space="preserve">Possui sistema de SST </t>
  </si>
  <si>
    <t>Parâmetros</t>
  </si>
  <si>
    <t>Significado</t>
  </si>
  <si>
    <t>Bom</t>
  </si>
  <si>
    <t>O fornecido apresenta-se consistentemente em conformidade e não apresenta reclamações derivado da entrega</t>
  </si>
  <si>
    <t>Médio</t>
  </si>
  <si>
    <t>O fornecido apresenta-se em conformidade com irregularidades esporádicas e não apresenta um histórico de reclamações</t>
  </si>
  <si>
    <t>Mau</t>
  </si>
  <si>
    <t>O fornecido apresenta inconformidades regulares e um histórico de reclamações</t>
  </si>
  <si>
    <t>Cumprimento rigoroso das normas de segurança, boas práticas de higiene e ausência de não conformidades relevantes.</t>
  </si>
  <si>
    <t>O fornecedor cumpre os requisitos básicos de segurança, mas apresenta algumas falhas pontuais ou aspetos a melhorar.</t>
  </si>
  <si>
    <t>Existem falhas significativas no cumprimento das normas de segurança alimentar, higiene ou segurança no trabalho, podendo existir riscos operacionais ou incumprimentos legais</t>
  </si>
  <si>
    <t>Cumprimento de Prazos</t>
  </si>
  <si>
    <t>Entregas regulares, pontuais e alinhadas com os prazos estabelecidos.</t>
  </si>
  <si>
    <t>Existem atrasos pontuais ou irregularidade moderada nas entregas.</t>
  </si>
  <si>
    <t>Ocorrem atrasos frequentes ou incumprimento sistemático das datas acordadas.</t>
  </si>
  <si>
    <t>Relação comercial estável, com boa comunicação, disponibilidade e capacidade de cooperação.</t>
  </si>
  <si>
    <t>Relação comercial funcional, mas apresenta limitações na rapidez de resposta ou na resolução de situações imprevistas.</t>
  </si>
  <si>
    <t>Dificuldades de comunicação, baixa capacidade de resposta e pouca flexibilidade na gestão comercial.</t>
  </si>
  <si>
    <t>Entrega sempre as Fichas de Dados de Segurança (FDS) e utiliza embalagens recicláveis/certificadas. Sem histórico de derrames no transporte.</t>
  </si>
  <si>
    <t>Entrega a documentação ambiental apenas quando solicitada. Embalagens em estado razoável.</t>
  </si>
  <si>
    <t>Não fornece FDS. Embalagens danificadas com risco de contaminação do solo ou rede de águas</t>
  </si>
  <si>
    <t>Preços competitivos face ao mercado e boas condições de pagamento (ex: 30-60 dias)</t>
  </si>
  <si>
    <t>Preços na média de mercado, mas com pouca margem de negociação.</t>
  </si>
  <si>
    <t>Preços muito acima do mercado ou exigência de pronto pagamento.</t>
  </si>
  <si>
    <t>Quantidade</t>
  </si>
  <si>
    <t>Entrega 100% da quantidade encomendada. Elevada flexibilidade para ajustes de última hora.</t>
  </si>
  <si>
    <t>Ligeiras variações entre o pedido e a entrega (ex: faltam alguns itens)</t>
  </si>
  <si>
    <t>Erros constantes nas quantidades, comprometendo o stock da linha de produção.</t>
  </si>
  <si>
    <t>Nota</t>
  </si>
  <si>
    <t>A atribuição da pontuação baseia-se no histórico de desempenho do fornecedor, evidências documentais, conformidade legal, regularidade de fornecimento e impacto operacional na atividade da empresa.</t>
  </si>
  <si>
    <t>CRITÉRIOS DE ANÁLISE</t>
  </si>
  <si>
    <t>FORNECEDOR</t>
  </si>
  <si>
    <t>TIPO</t>
  </si>
  <si>
    <t>NOME</t>
  </si>
  <si>
    <t>Carne</t>
  </si>
  <si>
    <t>Águas</t>
  </si>
  <si>
    <t>Transporte</t>
  </si>
  <si>
    <t>Embalagem</t>
  </si>
  <si>
    <t>Energia</t>
  </si>
  <si>
    <t>Limpeza</t>
  </si>
  <si>
    <t>Equipamentos</t>
  </si>
  <si>
    <t>RELAÇÕES COMERCIAIS</t>
  </si>
  <si>
    <t>Ótimo</t>
  </si>
  <si>
    <t>Neutro</t>
  </si>
  <si>
    <t>Critério de aprovação do Fornecedor</t>
  </si>
  <si>
    <t>Aprovado</t>
  </si>
  <si>
    <t>Não Aprovado</t>
  </si>
  <si>
    <t>50% a 70%</t>
  </si>
  <si>
    <t>maior 70%</t>
  </si>
  <si>
    <t>menor 50%</t>
  </si>
  <si>
    <t>Critério de Notas</t>
  </si>
  <si>
    <t>Ruim</t>
  </si>
  <si>
    <t>RESULTADO</t>
  </si>
  <si>
    <t>Standby</t>
  </si>
  <si>
    <t>OBSERVAÇÃO</t>
  </si>
  <si>
    <t>Na Média</t>
  </si>
  <si>
    <t>RESULTADO FINAL</t>
  </si>
  <si>
    <t>METOLOGIA DE AVALIAÇÃO DE RISCOS: OiRA</t>
  </si>
  <si>
    <t>GUIA — AVALIAÇÃO DOS FORNECEDORES</t>
  </si>
  <si>
    <t>Folha explicativa da folha «Avaliação dos Fornecedores». Esta folha é só de leitura — não precisa de preencher nada aqui.</t>
  </si>
  <si>
    <t>O QUE É ESTA FOLHA</t>
  </si>
  <si>
    <t>É a avaliação de desempenho ANUAL dos fornecedores que já trabalham com a empresa. Serve para confirmar, com base no que aconteceu durante o ano, se o fornecedor continua a cumprir o que prometeu: qualidade, ambiente, segurança, quantidade entregue, prazos, preço e relação comercial. No fim regista-se o resultado: Aprovado, Na Média ou Reprovado.</t>
  </si>
  <si>
    <t>Para que serve: dá resposta ao requisito 8.4 da ISO 9001 (controlo dos fornecedores externos) — a empresa tem de avaliar e reavaliar periodicamente os seus fornecedores e guardar registo disso.</t>
  </si>
  <si>
    <t>Quando usar: uma vez por ano (ou sempre que for definida uma reavaliação), para cada fornecedor já aprovado na folha «Seleção dos Fornecedores».</t>
  </si>
  <si>
    <t>ONDE ESTA FOLHA ENTRA NO PROCESSO</t>
  </si>
  <si>
    <t>O ficheiro tem 4 folhas de trabalho. Usam-se sempre por esta ordem:</t>
  </si>
  <si>
    <t>PASSO 1</t>
  </si>
  <si>
    <t>«Critérios de Seleção de Fornece» — registar o fornecedor candidato (nome e tipo) e dar notas de 1 a 3 aos critérios de seleção.</t>
  </si>
  <si>
    <t>PASSO 2</t>
  </si>
  <si>
    <t>«Seleção dos Fornecedores» — introduzir o preço do fornecedor e o preço médio de mercado. A folha calcula sozinha se o fornecedor fica Aprovado, Standby ou Não Aprovado.</t>
  </si>
  <si>
    <t>PASSO 3
◄ ESTÁ AQUI</t>
  </si>
  <si>
    <t>«Avaliação dos Fornecedores» — uma vez por ano, avaliar o desempenho real dos fornecedores com quem já trabalhamos.</t>
  </si>
  <si>
    <t>CONSULTA</t>
  </si>
  <si>
    <t>«Critério de Análise dos Forne» — tabela que explica o que significa cada nota (3 = Bom, 2 = Médio, 1 = Mau). Consulte-a sempre que tiver dúvidas na nota a dar.</t>
  </si>
  <si>
    <t>COMO AS FOLHAS ESTÃO LIGADAS: cada fornecedor ocupa SEMPRE A MESMA LINHA em todas as folhas. Exemplo: o fornecedor escrito na linha 6 da folha «Critérios de Seleção de Fornece» aparece automaticamente na linha 6 da «Seleção dos Fornecedores» e na linha 6 da «Avaliação dos Fornecedores». É esta ligação linha-a-linha que torna tudo automático — e é por isso que as linhas nunca podem mudar de sítio.</t>
  </si>
  <si>
    <t>LEGENDA — O QUE SIGNIFICA CADA TIPO DE COLUNA</t>
  </si>
  <si>
    <t>PREENCHER</t>
  </si>
  <si>
    <t>Coluna onde VOCÊ escreve. É a única parte da folha que deve ser mexida.</t>
  </si>
  <si>
    <t>AUTOMÁTICA (não mexer)</t>
  </si>
  <si>
    <t>Coluna com fórmula. O valor aparece sozinho, calculado a partir de outras células. Não escreva, não apague e não cole nada aqui.</t>
  </si>
  <si>
    <t>CONSULTA / CONFIGURAÇÃO</t>
  </si>
  <si>
    <t>Tabela de apoio: serve para ler e decidir. Só o responsável do SGI deve alterar, e apenas quando os critérios da empresa mudarem.</t>
  </si>
  <si>
    <t>EXPLICAÇÃO COLUNA A COLUNA</t>
  </si>
  <si>
    <t>Coluna</t>
  </si>
  <si>
    <t>Cabeçalho na folha</t>
  </si>
  <si>
    <t>Tipo</t>
  </si>
  <si>
    <t>O que significa</t>
  </si>
  <si>
    <t>Como preencher / como é calculado</t>
  </si>
  <si>
    <t>B</t>
  </si>
  <si>
    <t>Número de identificação do fornecedor.</t>
  </si>
  <si>
    <t>Vem da coluna B da folha «Seleção dos Fornecedores».
Fórmula: ='Seleção dos Fornecedores'!B6</t>
  </si>
  <si>
    <t>C</t>
  </si>
  <si>
    <t>Nome do fornecedor.</t>
  </si>
  <si>
    <t>Vem da coluna C da folha «Critérios de Seleção de Fornece». Se aparecer 0, essa linha ainda não tem fornecedor registado.
Fórmula: ='Critérios de Seleção de Fornece'!C6</t>
  </si>
  <si>
    <t>D</t>
  </si>
  <si>
    <t>Se o produto/serviço entregue esteve conforme durante o ano.</t>
  </si>
  <si>
    <t>Escreva 3, 2 ou 1.
3 = Bom: sempre conforme, sem reclamações.
2 = Médio: irregularidades esporádicas, sem histórico de reclamações.
1 = Mau: inconformidades regulares e reclamações.</t>
  </si>
  <si>
    <t>E</t>
  </si>
  <si>
    <t>Comportamento ambiental do fornecedor nas entregas.</t>
  </si>
  <si>
    <t>Escreva 3, 2 ou 1.
3 = Bom: entrega sempre as Fichas de Dados de Segurança (FDS), embalagens recicláveis, sem derrames.
2 = Médio: só entrega a documentação quando é pedida.
1 = Mau: não entrega FDS, embalagens danificadas.</t>
  </si>
  <si>
    <t>F</t>
  </si>
  <si>
    <t>Cumprimento das regras de segurança, higiene e segurança no trabalho.</t>
  </si>
  <si>
    <t>Escreva 3, 2 ou 1.
3 = Bom: cumprimento rigoroso, sem não conformidades.
2 = Médio: falhas pontuais.
1 = Mau: falhas graves, riscos ou incumprimentos legais.</t>
  </si>
  <si>
    <t>G</t>
  </si>
  <si>
    <t>Se entregou as quantidades encomendadas.</t>
  </si>
  <si>
    <t>Escreva 3, 2 ou 1.
3 = Bom: entrega 100% e é flexível.
2 = Médio: ligeiras diferenças.
1 = Mau: erros constantes que afetam o stock.</t>
  </si>
  <si>
    <t>H</t>
  </si>
  <si>
    <t>Se entregou nas datas combinadas.</t>
  </si>
  <si>
    <t>Escreva 3, 2 ou 1.
3 = Bom: sempre pontual.
2 = Médio: atrasos pontuais.
1 = Mau: atrasos frequentes.</t>
  </si>
  <si>
    <t>I</t>
  </si>
  <si>
    <t>Média das 5 notas acima (D a H).</t>
  </si>
  <si>
    <t>Soma as notas de D a H e divide pelo número de notas preenchidas.
Fórmula: =MÉDIA(D6:H6)</t>
  </si>
  <si>
    <t>J</t>
  </si>
  <si>
    <t>Preço do fornecedor.</t>
  </si>
  <si>
    <t>Vem da coluna M (Preço) da folha «Seleção dos Fornecedores». Se o preço mudar, altere-o lá — aqui atualiza sozinho.
Fórmula: ='Seleção dos Fornecedores'!M6</t>
  </si>
  <si>
    <t>K</t>
  </si>
  <si>
    <t>Como é trabalhar com o fornecedor: comunicação, rapidez de resposta, cooperação.</t>
  </si>
  <si>
    <t>Escreva o número da tabela de apoio «RELAÇÕES COMERCIAIS», à direita na própria folha (colunas O e P):
Neutro = 2   |   Bom = 3   |   Ótimo = 5
A descrição de cada nível está na folha «Critério de Análise dos Forne».</t>
  </si>
  <si>
    <t>L</t>
  </si>
  <si>
    <t>VALOR (Avaliação Geral Anual)</t>
  </si>
  <si>
    <t>Pontuação final do ano, em percentagem.</t>
  </si>
  <si>
    <t>Junta três partes, cada uma com o seu peso:
• 30% vem da Avaliação de Fornecimento (coluna I)
• 40% vem do Preço (coluna J)
• 30% vem das Relações Comerciais (coluna K)
Fórmula: =((5-I6)/4)*0,3 + (J6/4)*0,4 + (K6/4)*0,3</t>
  </si>
  <si>
    <t>M</t>
  </si>
  <si>
    <t>ESCREVER</t>
  </si>
  <si>
    <t>Decisão final sobre o fornecedor.</t>
  </si>
  <si>
    <t>Compare o VALOR (coluna L) com a tabela «Critério de aprovação do Fornecedor» (colunas R e S) e escreva exatamente uma destas palavras:
• Aprovado — se o valor for maior que 70% → a célula fica VERDE
• Na Média — se estiver entre 50% e 70% → fica AMARELA
• Reprovado — se for menor que 50% → fica VERMELHA
Atenção: escreva «Reprovado» (e não «Não Aprovado»), porque a cor vermelha só reconhece a palavra «Reprovado».</t>
  </si>
  <si>
    <t>TABELAS DE APOIO À DIREITA (colunas O a S)</t>
  </si>
  <si>
    <t>Onde</t>
  </si>
  <si>
    <t>Tabela</t>
  </si>
  <si>
    <t>Para que serve</t>
  </si>
  <si>
    <t>Como usar</t>
  </si>
  <si>
    <t>O5:P8</t>
  </si>
  <si>
    <t>Converte a opinião sobre a relação comercial num número.</t>
  </si>
  <si>
    <t>Use o número desta tabela na coluna K. Não altere a tabela.</t>
  </si>
  <si>
    <t>R5:S8</t>
  </si>
  <si>
    <t>Diz em que intervalo de percentagem o fornecedor é aprovado.</t>
  </si>
  <si>
    <t>Use-a para decidir o que escrever na coluna M. Não altere a tabela.</t>
  </si>
  <si>
    <t>O10</t>
  </si>
  <si>
    <t>Metodologia de avaliação de riscos: OiRA</t>
  </si>
  <si>
    <t>Indica a metodologia de avaliação de riscos de referência (OiRA).</t>
  </si>
  <si>
    <t>Apenas informativo.</t>
  </si>
  <si>
    <t>PASSO A PASSO</t>
  </si>
  <si>
    <t>1.  Confirme que o fornecedor já aparece nas colunas B e C (ele vem automaticamente das outras folhas — não o escreva aqui).</t>
  </si>
  <si>
    <t>2.  Abra a folha «Critério de Análise dos Forne» ao lado, para ler o que significa cada nota.</t>
  </si>
  <si>
    <t>3.  Na linha do fornecedor, escreva as notas 3, 2 ou 1 nas colunas D (Qualidade), E (Ambiente), F (Segurança), G (Quantidade) e H (Prazos).</t>
  </si>
  <si>
    <t>4.  Na coluna K escreva a nota de Relações Comerciais usando a tabela ao lado: Neutro = 2, Bom = 3, Ótimo = 5.</t>
  </si>
  <si>
    <t>5.  As colunas I (média), J (preço) e L (valor final) preenchem-se sozinhas.</t>
  </si>
  <si>
    <t>6.  Veja o valor da coluna L e escreva na coluna M: «Aprovado», «Na Média» ou «Reprovado».</t>
  </si>
  <si>
    <t>7.  Guarde as evidências que justificam as notas (reclamações, guias de remessa, FDS, certificados, e-mails).</t>
  </si>
  <si>
    <t>PORQUE É QUE ALGUMAS COLUNAS NÃO SE PODEM MEXER</t>
  </si>
  <si>
    <t>As colunas B, C, I, J e L são AUTOMÁTICAS: têm fórmulas que vão buscar dados às outras folhas ou fazem as contas sozinhas. Se alguém escrever por cima, a fórmula é apagada e essa linha deixa de se atualizar — sem aviso nenhum. Nesta folha a proteção do Excel não está ativa, por isso o cuidado tem de ser ainda maior: escreva apenas nas colunas D, E, F, G, H, K e M.</t>
  </si>
  <si>
    <t>REGRAS DE OURO — LEIA ANTES DE USAR</t>
  </si>
  <si>
    <t>NUNCA INSERIR NEM ELIMINAR LINHAS OU COLUNAS — EM NENHUMA FOLHA</t>
  </si>
  <si>
    <t>As fórmulas apontam para posições exatas (ex.: «linha 6, coluna H»). Se inserir ou eliminar uma única linha ou coluna, todas as posições mudam: os dados de um fornecedor passam a aparecer noutro, as médias calculam coisas erradas e TODA A AUTOMATIZAÇÃO DEIXA DE FUNCIONAR. Não há forma simples de corrigir depois.</t>
  </si>
  <si>
    <t>1.  Não ordene (A→Z, maior→menor) nem mova linhas. Ordenar mistura os fornecedores entre as folhas, pelo mesmo motivo.</t>
  </si>
  <si>
    <t>2.  Não use Cortar (Ctrl+X) para mudar dados de sítio — cortar desloca as células e estraga as fórmulas. Use Copiar (Ctrl+C).</t>
  </si>
  <si>
    <t>3.  Se copiar dados de outro ficheiro, cole com «Colar Especial → Valores» (Ctrl+Alt+V → Valores). Assim não traz formatações nem fórmulas estranhas.</t>
  </si>
  <si>
    <t>4.  Para retirar um fornecedor, selecione só as células de PREENCHER dessa linha e carregue em Delete. Nunca elimine a linha.</t>
  </si>
  <si>
    <t>5.  Se vir #DIV/0! numa linha vazia, é normal: a fórmula ainda não tem notas para fazer a média. O erro desaparece quando a linha for preenchida.</t>
  </si>
  <si>
    <t>6.  Se algo correr mal, feche SEM GUARDAR e volte a abrir o ficheiro. Em caso de dúvida, fale com o responsável do SGI antes de mexer.</t>
  </si>
  <si>
    <t>7.  Esta folha tem espaço para os fornecedores das linhas 6 a 207 (IDs 1 a 202).</t>
  </si>
  <si>
    <t>GUIA — CRITÉRIO DE ANÁLISE DOS FORNECEDORES</t>
  </si>
  <si>
    <t>Folha explicativa da folha «Critério de Análise dos Forne». Esta folha é só de leitura — não precisa de preencher nada aqui.</t>
  </si>
  <si>
    <t>É uma tabela de CONSULTA. Não se preenche nada nela. Explica, para cada tema avaliado, o que quer dizer dar nota 3 (Bom), 2 (Médio) ou 1 (Mau) a um fornecedor.</t>
  </si>
  <si>
    <t>Para que serve: garantir que todas as pessoas avaliam da mesma maneira. Duas pessoas diferentes a avaliar o mesmo fornecedor devem chegar à mesma nota, porque seguem a mesma descrição — e não a opinião de cada um.</t>
  </si>
  <si>
    <t>Quando usar: sempre que for dar uma nota nas folhas «Critérios de Seleção de Fornece» ou «Avaliação dos Fornecedores» e tiver dúvidas.</t>
  </si>
  <si>
    <t>PASSO 3</t>
  </si>
  <si>
    <t>CONSULTA
◄ ESTÁ AQUI</t>
  </si>
  <si>
    <t>O tema que está a ser avaliado: Qualidade, Segurança, Cumprimento de Prazos, Relações Comerciais, Ambiente, Preço e Quantidade.</t>
  </si>
  <si>
    <t>Procure aqui o tema da coluna que está a preencher na outra folha.</t>
  </si>
  <si>
    <t>Valor</t>
  </si>
  <si>
    <t>A nota em número: 3, 2 ou 1.</t>
  </si>
  <si>
    <t>É este número que se escreve nas outras folhas.</t>
  </si>
  <si>
    <t>O nome da nota: Bom (3), Médio (2) ou Mau (1).</t>
  </si>
  <si>
    <t>Ajuda a lembrar rapidamente o que cada número quer dizer.</t>
  </si>
  <si>
    <t>A descrição concreta do comportamento do fornecedor que corresponde àquela nota.</t>
  </si>
  <si>
    <t>Leia as 3 descrições do tema e escolha a que é mais parecida com a realidade do fornecedor.</t>
  </si>
  <si>
    <t>E27</t>
  </si>
  <si>
    <t>Regra geral de pontuação.</t>
  </si>
  <si>
    <t>A nota deve basear-se no histórico de desempenho, nas evidências documentais, na conformidade legal, na regularidade do fornecimento e no impacto na atividade da empresa — não em impressões.</t>
  </si>
  <si>
    <t>ONDE CADA TEMA É USADO</t>
  </si>
  <si>
    <t>Tema</t>
  </si>
  <si>
    <t>Usado em</t>
  </si>
  <si>
    <t>Observação</t>
  </si>
  <si>
    <t>1</t>
  </si>
  <si>
    <t>«Avaliação dos Fornecedores» — coluna D</t>
  </si>
  <si>
    <t>Notas 3 / 2 / 1</t>
  </si>
  <si>
    <t>2</t>
  </si>
  <si>
    <t>«Avaliação dos Fornecedores» — coluna E</t>
  </si>
  <si>
    <t>3</t>
  </si>
  <si>
    <t>«Avaliação dos Fornecedores» — coluna F</t>
  </si>
  <si>
    <t>4</t>
  </si>
  <si>
    <t>«Avaliação dos Fornecedores» — coluna G</t>
  </si>
  <si>
    <t>5</t>
  </si>
  <si>
    <t>«Avaliação dos Fornecedores» — coluna H</t>
  </si>
  <si>
    <t>6</t>
  </si>
  <si>
    <t>«Avaliação dos Fornecedores» — coluna K</t>
  </si>
  <si>
    <t>Use as descrições daqui para decidir o nível e depois o número da tabela da própria folha (Neutro = 2, Bom = 3, Ótimo = 5).</t>
  </si>
  <si>
    <t>7</t>
  </si>
  <si>
    <t>Ajuda a interpretar o preço do fornecedor</t>
  </si>
  <si>
    <t>O preço em si é escrito na coluna M da folha «Seleção dos Fornecedores».</t>
  </si>
  <si>
    <t>1.  Na outra folha, veja qual é o tema da coluna que vai preencher (ex.: «Qualidade»).</t>
  </si>
  <si>
    <t>2.  Aqui, encontre esse tema na coluna B (Parâmetros).</t>
  </si>
  <si>
    <t>3.  Leia as três descrições da coluna E (Critério).</t>
  </si>
  <si>
    <t>4.  Escolha a descrição que melhor corresponde ao que aconteceu com o fornecedor.</t>
  </si>
  <si>
    <t>5.  Escreva na outra folha o número da coluna C (Valor): 3, 2 ou 1.</t>
  </si>
  <si>
    <t>6.  Guarde a evidência que justifica a nota (reclamação, relatório, guia de remessa, certificado…).</t>
  </si>
  <si>
    <t>PORQUE É QUE ESTA FOLHA NÃO SE DEVE ALTERAR</t>
  </si>
  <si>
    <t>Não tem fórmulas, mas é a REGRA de avaliação da empresa. Se alguém mudar uma descrição, as notas deixam de ser comparáveis com as dos anos anteriores e com as de outros avaliadores. Só o responsável do SGI deve alterá-la, e apenas quando os critérios da empresa forem revistos (registando a revisão).</t>
  </si>
  <si>
    <t>GUIA — SELEÇÃO DOS FORNECEDORES</t>
  </si>
  <si>
    <t>Folha explicativa da folha «Seleção dos Fornecedores». Esta folha é só de leitura — não precisa de preencher nada aqui.</t>
  </si>
  <si>
    <t>É onde se decide se um fornecedor NOVO pode começar a trabalhar com a empresa. A folha junta automaticamente as notas dadas na folha «Critérios de Seleção de Fornece», compara o preço do fornecedor com o preço médio de mercado e calcula uma nota final. No fim mostra sozinha o resultado: Aprovado, Standby ou Não Aprovado.</t>
  </si>
  <si>
    <t>Nesta folha só tem de escrever 3 coisas: o preço médio de mercado (coluna L), o preço do fornecedor (coluna M) e, se quiser, uma observação (coluna Q). Todo o resto é automático e está bloqueado.</t>
  </si>
  <si>
    <t>PASSO 2
◄ ESTÁ AQUI</t>
  </si>
  <si>
    <t>Número do fornecedor.</t>
  </si>
  <si>
    <t>Vem da coluna B da folha «Critérios de Seleção de Fornece».
Fórmula: ='Critérios de Seleção de Fornece'!B6</t>
  </si>
  <si>
    <t>Vem da coluna C da folha «Critérios de Seleção de Fornece». Para corrigir um nome, corrija-o lá.
Fórmula: ='Critérios de Seleção de Fornece'!C6</t>
  </si>
  <si>
    <t>Nota de conformidade legal (1 a 3).</t>
  </si>
  <si>
    <t>Vem da média da Conformidade Legal (coluna H) da folha de critérios.
Fórmula: ='Critérios de Seleção de Fornece'!H6</t>
  </si>
  <si>
    <t>Nota do transporte / cadeia de frio (1 a 3).</t>
  </si>
  <si>
    <t>Vem da coluna I (Cadeia de frio) da folha de critérios.
Fórmula: ='Critérios de Seleção de Fornece'!I6</t>
  </si>
  <si>
    <t>Nota de Segurança e Saúde no Trabalho (1 a 3).</t>
  </si>
  <si>
    <t>Vem da média SST (coluna L) da folha de critérios.
Fórmula: ='Critérios de Seleção de Fornece'!L6</t>
  </si>
  <si>
    <t>Nota de qualidade do produto (1 a 3).</t>
  </si>
  <si>
    <t>Vem da média de Qualidade (coluna O) da folha de critérios.
Fórmula: ='Critérios de Seleção de Fornece'!O6</t>
  </si>
  <si>
    <t>Nota da capacidade de fornecimento (1 a 3).</t>
  </si>
  <si>
    <t>Vem da coluna Q da folha de critérios.
Fórmula: ='Critérios de Seleção de Fornece'!Q6</t>
  </si>
  <si>
    <t>REPUTAÇÃO</t>
  </si>
  <si>
    <t>Nota de histórico de mercado e ética (1 a 3).</t>
  </si>
  <si>
    <t>Vem da média de Reputação (coluna T) da folha de critérios.
Fórmula: ='Critérios de Seleção de Fornece'!T6</t>
  </si>
  <si>
    <t>Nota ambiental (1 a 3).</t>
  </si>
  <si>
    <t>Vem da média de Sustentabilidade (coluna W) da folha de critérios.
Fórmula: ='Critérios de Seleção de Fornece'!W6</t>
  </si>
  <si>
    <t>Média das 7 notas anteriores (D a J).</t>
  </si>
  <si>
    <t>Soma as notas de D a J e divide pelo número de notas.
Fórmula: =MÉDIA(D6:J6)</t>
  </si>
  <si>
    <t>VALOR — Média (Ind)</t>
  </si>
  <si>
    <t>Preço médio praticado no mercado (na indústria) para o mesmo produto ou serviço.</t>
  </si>
  <si>
    <t>Escreva só o número (sem «€»), na mesma unidade do preço do fornecedor (ex.: €/kg, €/unidade, €/mês). Pode obtê-lo, por exemplo, a partir de orçamentos de outros fornecedores.</t>
  </si>
  <si>
    <t>VALOR — Preço</t>
  </si>
  <si>
    <t>Preço proposto por este fornecedor.</t>
  </si>
  <si>
    <t>Escreva só o número, na MESMA unidade da coluna L. Este preço também aparece automaticamente na folha «Avaliação dos Fornecedores» (coluna J).</t>
  </si>
  <si>
    <t>N</t>
  </si>
  <si>
    <t>Compara o preço do fornecedor (M) com o preço de mercado (L).</t>
  </si>
  <si>
    <t>Segue a tabela de apoio «Critério para determinar o valor» (colunas S e T):
• Preço ACIMA da média → 1
• Preço IGUAL à média → 3
• Preço ABAIXO da média → 5
Fórmula: =SE(M6&gt;L6;1;SE(M6=L6;3;5))</t>
  </si>
  <si>
    <t>O</t>
  </si>
  <si>
    <t>NOTA FINAL — VALOR</t>
  </si>
  <si>
    <t>Nota final do fornecedor, em percentagem.</t>
  </si>
  <si>
    <t>Tem duas partes:
1) a MÉDIA (coluna K) é convertida numa percentagem: (5 − Média) ÷ 4;
2) o preço ajusta essa percentagem: (Critério de Valor − 3) ÷ 20, ou seja, preço acima da média tira 10%, igual não altera, abaixo da média soma 10%.
Fórmula: =((5-K6)/4) + ((N6-3)/20)</t>
  </si>
  <si>
    <t>P</t>
  </si>
  <si>
    <t>NOTA FINAL — RESULTADO</t>
  </si>
  <si>
    <t>Decisão final, escrita automaticamente.</t>
  </si>
  <si>
    <t>• 70% ou mais → Aprovado (fica VERDE)
• de 50% a 70% → Standby (fica AMARELO) — fica em espera / a rever
• menos de 50% → Não Aprovado (fica VERMELHO)
Fórmula: =SE(O6&gt;=0,7;$S$10;SE(O6&gt;=0,5;$S$11;$S$12))</t>
  </si>
  <si>
    <t>Q</t>
  </si>
  <si>
    <t>Espaço livre para notas.</t>
  </si>
  <si>
    <t>Opcional. Exemplos: motivo da decisão, documento em falta, condições negociadas, data prevista para reavaliar.</t>
  </si>
  <si>
    <t>TABELAS DE APOIO À DIREITA (colunas S e T)</t>
  </si>
  <si>
    <t>Atenção</t>
  </si>
  <si>
    <t>S4:T7</t>
  </si>
  <si>
    <t>Critério para determinar o valor</t>
  </si>
  <si>
    <t>CONFIGURAÇÃO</t>
  </si>
  <si>
    <t>Mostra a pontuação do preço: Acima da Média = 1, Na média = 3, Abaixo da Média = 5.</t>
  </si>
  <si>
    <t>Não altere.</t>
  </si>
  <si>
    <t>S9:T12</t>
  </si>
  <si>
    <t>Mostra os limites: Aprovado (&gt; 70%), Standby (50% a 70%), Não Aprovado (&lt; 50%).</t>
  </si>
  <si>
    <t>Não altere: a coluna P vai buscar as palavras «Aprovado», «Standby» e «Não Aprovado» diretamente a estas células (S10, S11, S12). Mudar o texto aqui muda o resultado de todos os fornecedores.</t>
  </si>
  <si>
    <t>1.  Primeiro preencha o fornecedor na folha «Critérios de Seleção de Fornece» (Passo 1). Ele aparece aqui sozinho, na mesma linha.</t>
  </si>
  <si>
    <t>2.  Confirme que as colunas B a K já mostram o nome e as notas do fornecedor.</t>
  </si>
  <si>
    <t>3.  Na coluna L escreva o preço médio de mercado.</t>
  </si>
  <si>
    <t>4.  Na coluna M escreva o preço do fornecedor (mesma unidade da coluna L).</t>
  </si>
  <si>
    <t>5.  Veja o resultado na coluna P: verde = Aprovado, amarelo = Standby, vermelho = Não Aprovado.</t>
  </si>
  <si>
    <t>6.  Se quiser, escreva uma nota na coluna Q (Observação).</t>
  </si>
  <si>
    <t>7.  Fornecedores Aprovados passam a ser avaliados uma vez por ano na folha «Avaliação dos Fornecedores» (Passo 3).</t>
  </si>
  <si>
    <t>PORQUE É QUE AS CÉLULAS ESTÃO BLOQUEADAS</t>
  </si>
  <si>
    <t>Esta folha está PROTEGIDA. As colunas B a K e N a P estão bloqueadas porque são 100% automáticas: vão buscar as notas à folha de critérios e fazem as contas sozinhas. Estão bloqueadas para que ninguém apague uma fórmula sem querer — se uma fórmula fosse apagada, aquele fornecedor deixava de ser calculado e o resultado ficava errado sem ninguém dar por isso. Se tentar escrever numa célula bloqueada, o Excel mostra um aviso: é normal, basta carregar em OK. Só as colunas L, M e Q estão abertas para escrever.</t>
  </si>
  <si>
    <t>7.  Não retire a proteção da folha. Ela existe para proteger as fórmulas.</t>
  </si>
  <si>
    <t>8.  Esta folha tem espaço para 300 fornecedores (linhas 6 a 305).</t>
  </si>
  <si>
    <t>GUIA — CRITÉRIOS DE SELEÇÃO DOS FORNECEDORES</t>
  </si>
  <si>
    <t>Folha explicativa da folha «Critérios de Seleção de Fornece». Esta folha é só de leitura — não precisa de preencher nada aqui.</t>
  </si>
  <si>
    <t>É ONDE TUDO COMEÇA. É a única folha onde se escreve o nome de um fornecedor novo. Aqui regista-se o fornecedor candidato, o tipo de fornecimento, e dão-se notas a 7 grupos de critérios: Conformidade Legal, Transporte, SST, Qualidade, Operacional, Reputação e Sustentabilidade. Tudo o que escrever aqui passa automaticamente para as outras folhas.</t>
  </si>
  <si>
    <t>Como dar as notas: em todas as colunas de nota use apenas 1, 2 ou 3 → 1 = Ruim / Mau, 2 = Neutro / Médio, 3 = Bom (legenda «Critério de Notas» nas colunas AA e AB, e descrições na folha «Critério de Análise dos Forne»).</t>
  </si>
  <si>
    <t>As palavras entre parênteses nos cabeçalhos — (Obrigatório), (Importante), (Opcional) — indicam a importância do critério para quem avalia. No cálculo automático, todas as notas contam o mesmo.</t>
  </si>
  <si>
    <t>PASSO 1
◄ ESTÁ AQUI</t>
  </si>
  <si>
    <t>Número do fornecedor (1 a 300).</t>
  </si>
  <si>
    <t>Os números são gerados sozinhos por uma única fórmula na célula B6, que preenche a coluna toda.
Fórmula: =SEQUÊNCIA(300)
Não escreva em nenhuma célula da coluna B: se escrever, a fórmula dá erro e TODOS os números de ID desaparecem.</t>
  </si>
  <si>
    <t>FORNECEDOR — NOME</t>
  </si>
  <si>
    <t>Escreva o nome completo da empresa. Use sempre a mesma linha para o mesmo fornecedor.</t>
  </si>
  <si>
    <t>FORNECEDOR — TIPO</t>
  </si>
  <si>
    <t>Tipo de produto ou serviço fornecido.</t>
  </si>
  <si>
    <t>Clique na célula, depois na seta que aparece, e escolha da lista: Carne, Águas, Embalagem, Energia, Transporte, Limpeza ou Equipamentos. A lista vem das células Y6:Y15.</t>
  </si>
  <si>
    <t>O fornecedor tem licença para exercer a atividade?</t>
  </si>
  <si>
    <t>Escreva SIM ou NÃO.
Se escrever NÃO (ou N), as colunas seguintes da linha ficam PRETAS: o fornecedor fica eliminado e não é preciso preencher o resto.</t>
  </si>
  <si>
    <t>O fornecedor cumpre o HACCP (segurança alimentar)?</t>
  </si>
  <si>
    <t>Escreva SIM (fica verde) ou NÃO (fica vermelho).
Se escrever NÃO (ou N), as colunas G a W da linha ficam PRETAS: o fornecedor fica eliminado.</t>
  </si>
  <si>
    <t>Possui sistema de SST</t>
  </si>
  <si>
    <t>Tem um sistema de Segurança e Saúde no Trabalho?</t>
  </si>
  <si>
    <t>Nota 1, 2 ou 3.</t>
  </si>
  <si>
    <t>CONFORMIDADE LEGAL — MÉDIA</t>
  </si>
  <si>
    <t>Nota do grupo Conformidade Legal.</t>
  </si>
  <si>
    <t>É igual à nota da coluna G. As colunas E e F (SIM/NÃO) não entram na conta porque não são números: funcionam como «filtro» — se for NÃO, o fornecedor é eliminado.
Fórmula: =G6</t>
  </si>
  <si>
    <t>TRANSPORTE — Cadeia de frio (Obrigatório)</t>
  </si>
  <si>
    <t>O transporte mantém a temperatura adequada (cadeia de frio)?</t>
  </si>
  <si>
    <t>Nota 1, 2 ou 3. Esta nota passa diretamente para a coluna TRANSPORTE da folha «Seleção dos Fornecedores».</t>
  </si>
  <si>
    <t>SST — Formação dos trabalhadores (Opcional)</t>
  </si>
  <si>
    <t>Os trabalhadores do fornecedor têm formação adequada?</t>
  </si>
  <si>
    <t>SST — Condições de higiene (Importante)</t>
  </si>
  <si>
    <t>As instalações e práticas têm boas condições de higiene?</t>
  </si>
  <si>
    <t>SST — MÉDIA</t>
  </si>
  <si>
    <t>Nota do grupo SST.</t>
  </si>
  <si>
    <t>Média de J e K.
Fórmula: =MÉDIA(J6:K6)</t>
  </si>
  <si>
    <t>QUALIDADE — Conformidade do Produto (Obrigatório)</t>
  </si>
  <si>
    <t>O produto cumpre as especificações e requisitos?</t>
  </si>
  <si>
    <t>QUALIDADE — Rastreabilidade</t>
  </si>
  <si>
    <t>O fornecedor consegue identificar a origem e o lote de cada produto?</t>
  </si>
  <si>
    <t>QUALIDADE — MÉDIA</t>
  </si>
  <si>
    <t>Nota do grupo Qualidade.</t>
  </si>
  <si>
    <t>Média de M e N.
Fórmula: =MÉDIA(M6:N6)</t>
  </si>
  <si>
    <t>OPERACIONAL — Capacidade de fornecimento</t>
  </si>
  <si>
    <t>Consegue fornecer as quantidades e a frequência de que precisamos?</t>
  </si>
  <si>
    <t>OPERACIONAL — MÉDIA</t>
  </si>
  <si>
    <t>Nota do grupo Operacional.</t>
  </si>
  <si>
    <t>É igual à nota da coluna P.
Fórmula: =P6</t>
  </si>
  <si>
    <t>R</t>
  </si>
  <si>
    <t>REPUTAÇÃO — Histórico de Mercado</t>
  </si>
  <si>
    <t>Tem bom historial e boas referências no mercado?</t>
  </si>
  <si>
    <t>S</t>
  </si>
  <si>
    <t>REPUTAÇÃO — Ética (Importante)</t>
  </si>
  <si>
    <t>Age com ética (sem práticas ilegais ou desleais)?</t>
  </si>
  <si>
    <t>T</t>
  </si>
  <si>
    <t>REPUTAÇÃO — MÉDIA</t>
  </si>
  <si>
    <t>Nota do grupo Reputação.</t>
  </si>
  <si>
    <t>Média de R e S.
Fórmula: =MÉDIA(R6:S6)</t>
  </si>
  <si>
    <t>U</t>
  </si>
  <si>
    <t>SUSTENTABILIDADE — Práticas Ambientais Sustentáveis (Importante)</t>
  </si>
  <si>
    <t>Tem práticas amigas do ambiente (resíduos, energia, embalagens)?</t>
  </si>
  <si>
    <t>V</t>
  </si>
  <si>
    <t>SUSTENTABILIDADE — Possui um SGA (Importante)</t>
  </si>
  <si>
    <t>Tem um Sistema de Gestão Ambiental (ex.: certificado ISO 14001)?</t>
  </si>
  <si>
    <t>W</t>
  </si>
  <si>
    <t>SUSTENTABILIDADE — MÉDIA</t>
  </si>
  <si>
    <t>Nota do grupo Sustentabilidade.</t>
  </si>
  <si>
    <t>Média de U e V.
Fórmula: =MÉDIA(U6:V6)</t>
  </si>
  <si>
    <t>Y</t>
  </si>
  <si>
    <t>Lista de tipos (Y6:Y15)</t>
  </si>
  <si>
    <t>Lista que aparece na seta da coluna D (Tipo).</t>
  </si>
  <si>
    <t>Não altere. Só o responsável do SGI deve acrescentar ou mudar tipos.</t>
  </si>
  <si>
    <t>AA:AB</t>
  </si>
  <si>
    <t>Legenda das notas.</t>
  </si>
  <si>
    <t>1 = Ruim   |   2 = Neutro   |   3 = Bom</t>
  </si>
  <si>
    <t>1.  Procure a primeira linha vazia (coluna C sem nome). O ID na coluna B já lá está.</t>
  </si>
  <si>
    <t>2.  Coluna C: escreva o nome do fornecedor.  Coluna D: escolha o tipo na lista.</t>
  </si>
  <si>
    <t>3.  Colunas E e F: escreva SIM ou NÃO. Se alguma for NÃO, a linha fica preta e o fornecedor está eliminado — pare aqui.</t>
  </si>
  <si>
    <t>4.  Nas colunas com fundo branco (G, I, J, K, M, N, P, R, S, U, V) escreva notas 1, 2 ou 3. Na dúvida, consulte a folha «Critério de Análise dos Forne».</t>
  </si>
  <si>
    <t>5.  As colunas de MÉDIA (H, L, O, Q, T, W) calculam-se sozinhas.</t>
  </si>
  <si>
    <t>6.  Passe para a folha «Seleção dos Fornecedores» (Passo 2) e, na mesma linha, escreva o preço de mercado e o preço do fornecedor.</t>
  </si>
  <si>
    <t>Esta folha está PROTEGIDA. As colunas de MÉDIA (H, L, O, Q, T e W) estão bloqueadas porque têm fórmulas: calculam a nota de cada grupo e enviam-na para a folha «Seleção dos Fornecedores». Se uma fórmula fosse apagada, a nota deixava de chegar à seleção e o resultado do fornecedor ficava errado sem ninguém perceber. Se tentar escrever numa célula bloqueada, o Excel mostra um aviso: é normal, basta carregar em OK. A coluna B (ID) também é automática: não está bloqueada, mas NÃO deve ser mexida.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</si>
</sst>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_-* #,##0.00\ [$€-816]_-;\-* #,##0.00\ [$€-816]_-;_-* &quot;-&quot;??\ [$€-816]_-;_-@_-"/>
    <numFmt numFmtId="165" formatCode="#,##0.00\ &quot;€&quot;"/>
    <numFmt numFmtId="166" formatCode="0.000"/>
  </numFmts>
  <fonts count="34" x14ac:knownFonts="1">
    <font>
      <sz val="11"/>
      <color theme="1"/>
      <name val="Aptos Narrow"/>
      <family val="2"/>
      <scheme val="minor"/>
    </font>
    <font>
      <sz val="11"/>
      <color theme="1"/>
      <name val="Cambria"/>
      <family val="1"/>
    </font>
    <font>
      <b/>
      <sz val="24"/>
      <color theme="0"/>
      <name val="Cambria"/>
      <family val="1"/>
    </font>
    <font>
      <sz val="11"/>
      <color theme="0"/>
      <name val="Cambria"/>
      <family val="1"/>
    </font>
    <font>
      <sz val="11"/>
      <color theme="1"/>
      <name val="Aptos Narrow"/>
      <family val="2"/>
      <scheme val="minor"/>
    </font>
    <font>
      <b/>
      <sz val="11"/>
      <color theme="0"/>
      <name val="Cambria"/>
      <family val="1"/>
    </font>
    <font>
      <b/>
      <sz val="26"/>
      <color theme="0"/>
      <name val="Cambria"/>
      <family val="1"/>
    </font>
    <font>
      <b/>
      <sz val="36"/>
      <color theme="0"/>
      <name val="Cambria"/>
      <family val="1"/>
    </font>
    <font>
      <b/>
      <sz val="12"/>
      <color theme="0"/>
      <name val="Cambria"/>
      <family val="1"/>
    </font>
    <font>
      <b/>
      <sz val="22"/>
      <color theme="0"/>
      <name val="Cambria"/>
      <family val="1"/>
    </font>
    <font>
      <b/>
      <sz val="18"/>
      <color theme="0"/>
      <name val="Cambria"/>
      <family val="1"/>
    </font>
    <font>
      <b/>
      <sz val="40"/>
      <color theme="0"/>
      <name val="Cambria"/>
      <family val="1"/>
    </font>
    <font>
      <sz val="11"/>
      <color rgb="FF000000"/>
      <name val="Aptos Narrow"/>
      <family val="2"/>
      <scheme val="minor"/>
    </font>
    <font>
      <sz val="11"/>
      <color rgb="FF000000"/>
      <name val="Cambria"/>
      <family val="1"/>
    </font>
    <font>
      <b/>
      <sz val="26"/>
      <color rgb="FF000000"/>
      <name val="Cambria"/>
      <family val="1"/>
    </font>
    <font>
      <sz val="8"/>
      <name val="Aptos Narrow"/>
      <family val="2"/>
      <scheme val="minor"/>
    </font>
    <font>
      <b/>
      <sz val="12"/>
      <color rgb="FFFFFFFF"/>
      <name val="Cambria"/>
      <family val="1"/>
    </font>
    <font>
      <b/>
      <sz val="11"/>
      <color theme="1"/>
      <name val="Cambria"/>
      <family val="1"/>
    </font>
    <font>
      <sz val="11"/>
      <color theme="1"/>
      <name val="Aptos Narrow"/>
      <family val="2"/>
      <scheme val="minor"/>
    </font>
    <font>
      <b/>
      <sz val="22"/>
      <color rgb="FFFFFFFF"/>
      <name val="Cambria"/>
      <family val="1"/>
    </font>
    <font>
      <i/>
      <sz val="10"/>
      <color rgb="FF595959"/>
      <name val="Cambria"/>
      <family val="1"/>
    </font>
    <font>
      <b/>
      <sz val="13"/>
      <color rgb="FFFFFFFF"/>
      <name val="Cambria"/>
      <family val="1"/>
    </font>
    <font>
      <sz val="11"/>
      <color rgb="FF000000"/>
      <name val="Cambria"/>
      <family val="1"/>
    </font>
    <font>
      <b/>
      <sz val="11"/>
      <color rgb="FF000000"/>
      <name val="Cambria"/>
      <family val="1"/>
    </font>
    <font>
      <sz val="11"/>
      <name val="Cambria"/>
      <family val="1"/>
    </font>
    <font>
      <b/>
      <sz val="11"/>
      <color rgb="FF006100"/>
      <name val="Cambria"/>
      <family val="1"/>
    </font>
    <font>
      <b/>
      <sz val="11"/>
      <color rgb="FF9C0006"/>
      <name val="Cambria"/>
      <family val="1"/>
    </font>
    <font>
      <b/>
      <sz val="11"/>
      <color rgb="FF9C5700"/>
      <name val="Cambria"/>
      <family val="1"/>
    </font>
    <font>
      <b/>
      <sz val="11"/>
      <color rgb="FFFFFFFF"/>
      <name val="Cambria"/>
      <family val="1"/>
    </font>
    <font>
      <b/>
      <sz val="11"/>
      <name val="Cambria"/>
      <family val="1"/>
    </font>
    <font>
      <b/>
      <sz val="10"/>
      <color rgb="FF9C0006"/>
      <name val="Cambria"/>
      <family val="1"/>
    </font>
    <font>
      <b/>
      <sz val="10"/>
      <color rgb="FF006100"/>
      <name val="Cambria"/>
      <family val="1"/>
    </font>
    <font>
      <b/>
      <sz val="10"/>
      <color rgb="FF9C5700"/>
      <name val="Cambria"/>
      <family val="1"/>
    </font>
    <font>
      <b/>
      <sz val="14"/>
      <color rgb="FFFFFFFF"/>
      <name val="Cambria"/>
      <family val="1"/>
    </font>
  </fonts>
  <fills count="1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0F7343"/>
        <bgColor indexed="64"/>
      </patternFill>
    </fill>
    <fill>
      <patternFill patternType="solid">
        <fgColor rgb="FF995816"/>
        <bgColor indexed="64"/>
      </patternFill>
    </fill>
    <fill>
      <patternFill patternType="solid">
        <fgColor rgb="FF203E5E"/>
        <bgColor indexed="64"/>
      </patternFill>
    </fill>
    <fill>
      <patternFill patternType="solid">
        <fgColor rgb="FF0F7343"/>
        <bgColor rgb="FF000000"/>
      </patternFill>
    </fill>
    <fill>
      <patternFill patternType="none"/>
    </fill>
    <fill>
      <patternFill patternType="solid">
        <fgColor rgb="FF0F7343"/>
      </patternFill>
    </fill>
    <fill>
      <patternFill patternType="solid">
        <fgColor rgb="FF99581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1515"/>
      </patternFill>
    </fill>
    <fill>
      <patternFill patternType="solid">
        <fgColor rgb="FF203E5E"/>
      </patternFill>
    </fill>
    <fill>
      <patternFill patternType="solid">
        <fgColor theme="3" tint="9.9978637043366805E-2"/>
        <bgColor indexed="65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09">
    <xf numFmtId="0" fontId="0" fillId="0" borderId="0" xfId="0"/>
    <xf numFmtId="0" fontId="12" fillId="0" borderId="0" xfId="0" applyFont="1"/>
    <xf numFmtId="0" fontId="6" fillId="0" borderId="0" xfId="0" applyFont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0" fillId="0" borderId="0" xfId="0" applyFont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0" fontId="5" fillId="4" borderId="1" xfId="0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5" fillId="4" borderId="7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165" fontId="1" fillId="0" borderId="1" xfId="0" applyNumberFormat="1" applyFont="1" applyBorder="1" applyAlignment="1" applyProtection="1">
      <alignment horizontal="center" vertical="center"/>
      <protection locked="0"/>
    </xf>
    <xf numFmtId="165" fontId="1" fillId="0" borderId="1" xfId="1" applyNumberFormat="1" applyFont="1" applyBorder="1" applyAlignment="1" applyProtection="1">
      <alignment horizontal="center" vertical="center"/>
      <protection locked="0"/>
    </xf>
    <xf numFmtId="9" fontId="1" fillId="0" borderId="1" xfId="2" applyFont="1" applyBorder="1" applyAlignment="1" applyProtection="1">
      <alignment horizontal="center" vertical="center"/>
      <protection locked="0"/>
    </xf>
    <xf numFmtId="2" fontId="1" fillId="0" borderId="1" xfId="2" applyNumberFormat="1" applyFont="1" applyBorder="1" applyAlignment="1" applyProtection="1">
      <alignment horizontal="center" vertical="center" wrapText="1"/>
      <protection locked="0"/>
    </xf>
    <xf numFmtId="164" fontId="1" fillId="0" borderId="1" xfId="0" applyNumberFormat="1" applyFont="1" applyBorder="1" applyAlignment="1" applyProtection="1">
      <alignment horizontal="center" vertical="center"/>
      <protection locked="0"/>
    </xf>
    <xf numFmtId="44" fontId="1" fillId="0" borderId="1" xfId="1" applyFont="1" applyFill="1" applyBorder="1" applyAlignment="1" applyProtection="1">
      <alignment horizontal="center" vertical="center"/>
      <protection locked="0"/>
    </xf>
    <xf numFmtId="9" fontId="1" fillId="0" borderId="1" xfId="2" applyFont="1" applyFill="1" applyBorder="1" applyAlignment="1" applyProtection="1">
      <alignment horizontal="center" vertical="center"/>
      <protection locked="0"/>
    </xf>
    <xf numFmtId="2" fontId="1" fillId="0" borderId="1" xfId="2" applyNumberFormat="1" applyFont="1" applyFill="1" applyBorder="1" applyAlignment="1" applyProtection="1">
      <alignment horizontal="center" vertical="center" wrapText="1"/>
      <protection locked="0"/>
    </xf>
    <xf numFmtId="9" fontId="1" fillId="0" borderId="0" xfId="2" applyFont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1" fillId="0" borderId="1" xfId="2" applyNumberFormat="1" applyFont="1" applyBorder="1" applyAlignment="1" applyProtection="1">
      <alignment horizontal="center" vertical="center"/>
    </xf>
    <xf numFmtId="9" fontId="1" fillId="0" borderId="1" xfId="2" applyFont="1" applyBorder="1" applyAlignment="1" applyProtection="1">
      <alignment horizontal="center" vertical="center"/>
    </xf>
    <xf numFmtId="2" fontId="1" fillId="0" borderId="21" xfId="2" applyNumberFormat="1" applyFont="1" applyBorder="1" applyAlignment="1" applyProtection="1">
      <alignment horizontal="center" vertical="center"/>
    </xf>
    <xf numFmtId="1" fontId="1" fillId="0" borderId="1" xfId="2" applyNumberFormat="1" applyFont="1" applyFill="1" applyBorder="1" applyAlignment="1" applyProtection="1">
      <alignment horizontal="center" vertical="center"/>
    </xf>
    <xf numFmtId="9" fontId="1" fillId="0" borderId="1" xfId="2" applyFont="1" applyFill="1" applyBorder="1" applyAlignment="1" applyProtection="1">
      <alignment horizontal="center" vertical="center"/>
    </xf>
    <xf numFmtId="2" fontId="1" fillId="0" borderId="21" xfId="2" applyNumberFormat="1" applyFont="1" applyFill="1" applyBorder="1" applyAlignment="1" applyProtection="1">
      <alignment horizontal="center" vertical="center"/>
    </xf>
    <xf numFmtId="2" fontId="1" fillId="0" borderId="1" xfId="2" applyNumberFormat="1" applyFont="1" applyBorder="1" applyAlignment="1" applyProtection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3" fillId="0" borderId="14" xfId="0" applyFont="1" applyBorder="1" applyAlignment="1">
      <alignment horizontal="left" vertical="center" wrapText="1"/>
    </xf>
    <xf numFmtId="0" fontId="13" fillId="0" borderId="16" xfId="0" applyFont="1" applyBorder="1" applyAlignment="1">
      <alignment horizontal="left" vertical="center" wrapText="1"/>
    </xf>
    <xf numFmtId="0" fontId="13" fillId="0" borderId="19" xfId="0" applyFont="1" applyBorder="1" applyAlignment="1">
      <alignment horizontal="left" vertical="center" wrapText="1"/>
    </xf>
    <xf numFmtId="0" fontId="12" fillId="0" borderId="0" xfId="0" applyFont="1" applyAlignment="1">
      <alignment horizontal="left"/>
    </xf>
    <xf numFmtId="0" fontId="2" fillId="0" borderId="0" xfId="0" applyFont="1" applyAlignment="1" applyProtection="1">
      <alignment vertical="center"/>
      <protection locked="0"/>
    </xf>
    <xf numFmtId="0" fontId="8" fillId="5" borderId="1" xfId="0" applyFont="1" applyFill="1" applyBorder="1" applyAlignment="1" applyProtection="1">
      <alignment horizontal="center" vertical="center" wrapText="1"/>
      <protection locked="0"/>
    </xf>
    <xf numFmtId="9" fontId="8" fillId="5" borderId="1" xfId="2" applyFont="1" applyFill="1" applyBorder="1" applyAlignment="1" applyProtection="1">
      <alignment horizontal="center" vertical="center" wrapText="1"/>
      <protection locked="0"/>
    </xf>
    <xf numFmtId="1" fontId="1" fillId="0" borderId="1" xfId="0" applyNumberFormat="1" applyFont="1" applyBorder="1" applyAlignment="1" applyProtection="1">
      <alignment horizontal="center" vertical="center"/>
      <protection locked="0"/>
    </xf>
    <xf numFmtId="0" fontId="1" fillId="0" borderId="1" xfId="2" applyNumberFormat="1" applyFont="1" applyBorder="1" applyAlignment="1" applyProtection="1">
      <alignment horizontal="center" vertical="center"/>
      <protection locked="0"/>
    </xf>
    <xf numFmtId="0" fontId="17" fillId="0" borderId="1" xfId="0" applyFont="1" applyBorder="1" applyAlignment="1" applyProtection="1">
      <alignment horizontal="center" vertical="center" wrapText="1"/>
      <protection locked="0"/>
    </xf>
    <xf numFmtId="0" fontId="24" fillId="8" borderId="23" xfId="0" applyFont="1" applyFill="1" applyBorder="1" applyAlignment="1">
      <alignment horizontal="left" vertical="center" wrapText="1" indent="1"/>
    </xf>
    <xf numFmtId="0" fontId="28" fillId="10" borderId="23" xfId="0" applyFont="1" applyFill="1" applyBorder="1" applyAlignment="1">
      <alignment horizontal="center" vertical="center" wrapText="1"/>
    </xf>
    <xf numFmtId="0" fontId="29" fillId="8" borderId="23" xfId="0" applyFont="1" applyFill="1" applyBorder="1" applyAlignment="1">
      <alignment horizontal="center" vertical="center" wrapText="1"/>
    </xf>
    <xf numFmtId="0" fontId="29" fillId="8" borderId="23" xfId="0" applyFont="1" applyFill="1" applyBorder="1" applyAlignment="1">
      <alignment horizontal="left" vertical="center" wrapText="1" indent="1"/>
    </xf>
    <xf numFmtId="0" fontId="30" fillId="13" borderId="23" xfId="0" applyFont="1" applyFill="1" applyBorder="1" applyAlignment="1">
      <alignment horizontal="center" vertical="center" wrapText="1"/>
    </xf>
    <xf numFmtId="0" fontId="31" fillId="11" borderId="23" xfId="0" applyFont="1" applyFill="1" applyBorder="1" applyAlignment="1">
      <alignment horizontal="center" vertical="center" wrapText="1"/>
    </xf>
    <xf numFmtId="0" fontId="32" fillId="12" borderId="23" xfId="0" applyFont="1" applyFill="1" applyBorder="1" applyAlignment="1">
      <alignment horizontal="center" vertical="center" wrapText="1"/>
    </xf>
    <xf numFmtId="0" fontId="28" fillId="9" borderId="23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9" fontId="8" fillId="5" borderId="1" xfId="2" applyFont="1" applyFill="1" applyBorder="1" applyAlignment="1" applyProtection="1">
      <alignment horizontal="center" vertical="center"/>
      <protection locked="0"/>
    </xf>
    <xf numFmtId="0" fontId="8" fillId="5" borderId="1" xfId="0" applyFont="1" applyFill="1" applyBorder="1" applyAlignment="1" applyProtection="1">
      <alignment horizontal="center" vertical="center"/>
      <protection locked="0"/>
    </xf>
    <xf numFmtId="0" fontId="8" fillId="5" borderId="1" xfId="0" applyFont="1" applyFill="1" applyBorder="1" applyAlignment="1" applyProtection="1">
      <alignment horizontal="center" vertical="center" wrapText="1"/>
      <protection locked="0"/>
    </xf>
    <xf numFmtId="0" fontId="7" fillId="4" borderId="0" xfId="0" applyFont="1" applyFill="1" applyAlignment="1" applyProtection="1">
      <alignment horizontal="center" vertical="center"/>
      <protection locked="0"/>
    </xf>
    <xf numFmtId="0" fontId="22" fillId="8" borderId="22" xfId="0" applyFont="1" applyFill="1" applyBorder="1" applyAlignment="1">
      <alignment horizontal="left" vertical="center" wrapText="1" indent="1"/>
    </xf>
    <xf numFmtId="0" fontId="0" fillId="0" borderId="0" xfId="0"/>
    <xf numFmtId="0" fontId="24" fillId="8" borderId="23" xfId="0" applyFont="1" applyFill="1" applyBorder="1" applyAlignment="1">
      <alignment horizontal="left" vertical="center" wrapText="1" indent="1"/>
    </xf>
    <xf numFmtId="0" fontId="18" fillId="8" borderId="23" xfId="0" applyFont="1" applyFill="1" applyBorder="1"/>
    <xf numFmtId="0" fontId="21" fillId="10" borderId="22" xfId="0" applyFont="1" applyFill="1" applyBorder="1" applyAlignment="1">
      <alignment horizontal="left" vertical="center" indent="1"/>
    </xf>
    <xf numFmtId="0" fontId="20" fillId="8" borderId="22" xfId="0" applyFont="1" applyFill="1" applyBorder="1" applyAlignment="1">
      <alignment horizontal="left" vertical="center" wrapText="1"/>
    </xf>
    <xf numFmtId="0" fontId="26" fillId="13" borderId="22" xfId="0" applyFont="1" applyFill="1" applyBorder="1" applyAlignment="1">
      <alignment horizontal="left" vertical="center" wrapText="1" indent="1"/>
    </xf>
    <xf numFmtId="0" fontId="27" fillId="12" borderId="23" xfId="0" applyFont="1" applyFill="1" applyBorder="1" applyAlignment="1">
      <alignment horizontal="center" vertical="center" wrapText="1"/>
    </xf>
    <xf numFmtId="0" fontId="19" fillId="9" borderId="22" xfId="0" applyFont="1" applyFill="1" applyBorder="1" applyAlignment="1">
      <alignment horizontal="center" vertical="center" wrapText="1"/>
    </xf>
    <xf numFmtId="0" fontId="33" fillId="14" borderId="22" xfId="0" applyFont="1" applyFill="1" applyBorder="1" applyAlignment="1">
      <alignment horizontal="center" vertical="center" wrapText="1"/>
    </xf>
    <xf numFmtId="0" fontId="23" fillId="8" borderId="23" xfId="0" applyFont="1" applyFill="1" applyBorder="1" applyAlignment="1">
      <alignment horizontal="center" vertical="center" wrapText="1"/>
    </xf>
    <xf numFmtId="0" fontId="26" fillId="13" borderId="23" xfId="0" applyFont="1" applyFill="1" applyBorder="1" applyAlignment="1">
      <alignment horizontal="center" vertical="center" wrapText="1"/>
    </xf>
    <xf numFmtId="0" fontId="25" fillId="11" borderId="23" xfId="0" applyFont="1" applyFill="1" applyBorder="1" applyAlignment="1">
      <alignment horizontal="center" vertical="center" wrapText="1"/>
    </xf>
    <xf numFmtId="0" fontId="22" fillId="12" borderId="22" xfId="0" applyFont="1" applyFill="1" applyBorder="1" applyAlignment="1">
      <alignment horizontal="left" vertical="center" wrapText="1" indent="1"/>
    </xf>
    <xf numFmtId="0" fontId="19" fillId="15" borderId="22" xfId="0" applyFont="1" applyFill="1" applyBorder="1" applyAlignment="1">
      <alignment horizontal="center" vertical="center" wrapText="1"/>
    </xf>
    <xf numFmtId="0" fontId="21" fillId="9" borderId="22" xfId="0" applyFont="1" applyFill="1" applyBorder="1" applyAlignment="1">
      <alignment horizontal="left" vertical="center" indent="1"/>
    </xf>
    <xf numFmtId="0" fontId="16" fillId="7" borderId="12" xfId="0" applyFont="1" applyFill="1" applyBorder="1" applyAlignment="1">
      <alignment horizontal="center" vertical="center"/>
    </xf>
    <xf numFmtId="0" fontId="16" fillId="7" borderId="15" xfId="0" applyFont="1" applyFill="1" applyBorder="1" applyAlignment="1">
      <alignment horizontal="center" vertical="center"/>
    </xf>
    <xf numFmtId="0" fontId="16" fillId="7" borderId="17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6" fillId="7" borderId="12" xfId="0" applyFont="1" applyFill="1" applyBorder="1" applyAlignment="1">
      <alignment horizontal="center" vertical="center" wrapText="1"/>
    </xf>
    <xf numFmtId="0" fontId="16" fillId="7" borderId="15" xfId="0" applyFont="1" applyFill="1" applyBorder="1" applyAlignment="1">
      <alignment horizontal="center" vertical="center" wrapText="1"/>
    </xf>
    <xf numFmtId="0" fontId="16" fillId="7" borderId="17" xfId="0" applyFont="1" applyFill="1" applyBorder="1" applyAlignment="1">
      <alignment horizontal="center" vertical="center" wrapText="1"/>
    </xf>
    <xf numFmtId="0" fontId="11" fillId="6" borderId="0" xfId="0" applyFont="1" applyFill="1" applyAlignment="1" applyProtection="1">
      <alignment horizontal="center" vertical="center"/>
      <protection locked="0"/>
    </xf>
    <xf numFmtId="0" fontId="5" fillId="4" borderId="1" xfId="0" applyFont="1" applyFill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0" fontId="5" fillId="4" borderId="1" xfId="0" applyFont="1" applyFill="1" applyBorder="1" applyAlignment="1" applyProtection="1">
      <alignment horizontal="center" vertical="center"/>
      <protection locked="0"/>
    </xf>
    <xf numFmtId="0" fontId="5" fillId="4" borderId="8" xfId="0" applyFont="1" applyFill="1" applyBorder="1" applyAlignment="1" applyProtection="1">
      <alignment horizontal="center" vertical="center"/>
      <protection locked="0"/>
    </xf>
    <xf numFmtId="0" fontId="5" fillId="4" borderId="9" xfId="0" applyFont="1" applyFill="1" applyBorder="1" applyAlignment="1" applyProtection="1">
      <alignment horizontal="center" vertical="center"/>
      <protection locked="0"/>
    </xf>
    <xf numFmtId="0" fontId="19" fillId="16" borderId="22" xfId="0" applyFont="1" applyFill="1" applyBorder="1" applyAlignment="1">
      <alignment horizontal="center" vertical="center" wrapText="1"/>
    </xf>
    <xf numFmtId="0" fontId="1" fillId="0" borderId="21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5" fillId="4" borderId="5" xfId="0" applyFont="1" applyFill="1" applyBorder="1" applyAlignment="1" applyProtection="1">
      <alignment horizontal="center" vertical="center" wrapText="1"/>
      <protection locked="0"/>
    </xf>
    <xf numFmtId="0" fontId="5" fillId="4" borderId="6" xfId="0" applyFont="1" applyFill="1" applyBorder="1" applyAlignment="1" applyProtection="1">
      <alignment horizontal="center" vertical="center" wrapText="1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5" fillId="4" borderId="4" xfId="0" applyFont="1" applyFill="1" applyBorder="1" applyAlignment="1" applyProtection="1">
      <alignment horizontal="center" vertical="center" wrapText="1"/>
      <protection locked="0"/>
    </xf>
    <xf numFmtId="0" fontId="5" fillId="4" borderId="2" xfId="0" applyFont="1" applyFill="1" applyBorder="1" applyAlignment="1" applyProtection="1">
      <alignment horizontal="center" vertical="center" wrapText="1"/>
      <protection locked="0"/>
    </xf>
    <xf numFmtId="0" fontId="5" fillId="4" borderId="10" xfId="0" applyFont="1" applyFill="1" applyBorder="1" applyAlignment="1" applyProtection="1">
      <alignment horizontal="center" vertical="center"/>
      <protection locked="0"/>
    </xf>
  </cellXfs>
  <cellStyles count="3">
    <cellStyle name="Moeda" xfId="1" builtinId="4"/>
    <cellStyle name="Normal" xfId="0" builtinId="0"/>
    <cellStyle name="Percentagem" xfId="2" builtinId="5"/>
  </cellStyles>
  <dxfs count="10"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1515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0F7343"/>
      <color rgb="FF203E5E"/>
      <color rgb="FF980206"/>
      <color rgb="FF995816"/>
      <color rgb="FFFF1515"/>
      <color rgb="FFAA0106"/>
      <color rgb="FF420D07"/>
      <color rgb="FF814E1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800100" cy="800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7696</xdr:colOff>
      <xdr:row>0</xdr:row>
      <xdr:rowOff>0</xdr:rowOff>
    </xdr:from>
    <xdr:to>
      <xdr:col>2</xdr:col>
      <xdr:colOff>6583</xdr:colOff>
      <xdr:row>3</xdr:row>
      <xdr:rowOff>29675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139CCD0-2603-4A43-89A0-7B5C17136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878" y="0"/>
          <a:ext cx="945614" cy="9456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800100" cy="800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106681</xdr:colOff>
      <xdr:row>0</xdr:row>
      <xdr:rowOff>1</xdr:rowOff>
    </xdr:from>
    <xdr:to>
      <xdr:col>1</xdr:col>
      <xdr:colOff>754380</xdr:colOff>
      <xdr:row>1</xdr:row>
      <xdr:rowOff>557403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3268FB7-4AC1-BCAA-0AAF-FDE4A9E95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1" y="1"/>
          <a:ext cx="647699" cy="64122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800100" cy="800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</xdr:colOff>
      <xdr:row>0</xdr:row>
      <xdr:rowOff>0</xdr:rowOff>
    </xdr:from>
    <xdr:to>
      <xdr:col>1</xdr:col>
      <xdr:colOff>861060</xdr:colOff>
      <xdr:row>1</xdr:row>
      <xdr:rowOff>784860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B49DC52-56A4-41DB-8356-F71334E80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" y="0"/>
          <a:ext cx="838200" cy="8382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800100" cy="800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45905</xdr:colOff>
      <xdr:row>0</xdr:row>
      <xdr:rowOff>0</xdr:rowOff>
    </xdr:from>
    <xdr:to>
      <xdr:col>1</xdr:col>
      <xdr:colOff>918073</xdr:colOff>
      <xdr:row>3</xdr:row>
      <xdr:rowOff>18361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4620430-37A4-966E-7B43-5FAF1689E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05" y="0"/>
          <a:ext cx="945614" cy="945614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7343"/>
    <pageSetUpPr fitToPage="1"/>
  </sheetPr>
  <dimension ref="B1:F67"/>
  <sheetViews>
    <sheetView showGridLines="0" topLeftCell="A61" workbookViewId="0">
      <selection activeCell="B21" sqref="B21:C21"/>
    </sheetView>
  </sheetViews>
  <sheetFormatPr defaultRowHeight="14.4" x14ac:dyDescent="0.3"/>
  <cols>
    <col min="1" max="1" width="0.77734375" customWidth="1"/>
    <col min="2" max="2" width="12.44140625" customWidth="1"/>
    <col min="3" max="3" width="27" customWidth="1"/>
    <col min="4" max="4" width="19" customWidth="1"/>
    <col min="5" max="5" width="52" customWidth="1"/>
    <col min="6" max="6" width="64" customWidth="1"/>
  </cols>
  <sheetData>
    <row r="1" spans="2:6" ht="33" customHeight="1" x14ac:dyDescent="0.3">
      <c r="C1" s="76" t="s">
        <v>112</v>
      </c>
      <c r="D1" s="69"/>
      <c r="E1" s="69"/>
      <c r="F1" s="69"/>
    </row>
    <row r="2" spans="2:6" ht="33" customHeight="1" x14ac:dyDescent="0.3">
      <c r="C2" s="69"/>
      <c r="D2" s="69"/>
      <c r="E2" s="69"/>
      <c r="F2" s="69"/>
    </row>
    <row r="3" spans="2:6" ht="30" customHeight="1" x14ac:dyDescent="0.3">
      <c r="B3" s="73" t="s">
        <v>113</v>
      </c>
      <c r="C3" s="69"/>
      <c r="D3" s="69"/>
      <c r="E3" s="69"/>
      <c r="F3" s="69"/>
    </row>
    <row r="5" spans="2:6" ht="24" customHeight="1" x14ac:dyDescent="0.3">
      <c r="B5" s="72" t="s">
        <v>114</v>
      </c>
      <c r="C5" s="69"/>
      <c r="D5" s="69"/>
      <c r="E5" s="69"/>
      <c r="F5" s="69"/>
    </row>
    <row r="6" spans="2:6" ht="38.4" customHeight="1" x14ac:dyDescent="0.3">
      <c r="B6" s="68" t="s">
        <v>115</v>
      </c>
      <c r="C6" s="69"/>
      <c r="D6" s="69"/>
      <c r="E6" s="69"/>
      <c r="F6" s="69"/>
    </row>
    <row r="7" spans="2:6" ht="38.4" customHeight="1" x14ac:dyDescent="0.3">
      <c r="B7" s="68" t="s">
        <v>116</v>
      </c>
      <c r="C7" s="69"/>
      <c r="D7" s="69"/>
      <c r="E7" s="69"/>
      <c r="F7" s="69"/>
    </row>
    <row r="8" spans="2:6" ht="23.1" customHeight="1" x14ac:dyDescent="0.3">
      <c r="B8" s="68" t="s">
        <v>117</v>
      </c>
      <c r="C8" s="69"/>
      <c r="D8" s="69"/>
      <c r="E8" s="69"/>
      <c r="F8" s="69"/>
    </row>
    <row r="9" spans="2:6" ht="10.050000000000001" customHeight="1" x14ac:dyDescent="0.3"/>
    <row r="10" spans="2:6" ht="24" customHeight="1" x14ac:dyDescent="0.3">
      <c r="B10" s="72" t="s">
        <v>118</v>
      </c>
      <c r="C10" s="69"/>
      <c r="D10" s="69"/>
      <c r="E10" s="69"/>
      <c r="F10" s="69"/>
    </row>
    <row r="11" spans="2:6" ht="23.1" customHeight="1" x14ac:dyDescent="0.3">
      <c r="B11" s="68" t="s">
        <v>119</v>
      </c>
      <c r="C11" s="69"/>
      <c r="D11" s="69"/>
      <c r="E11" s="69"/>
      <c r="F11" s="69"/>
    </row>
    <row r="12" spans="2:6" ht="23.25" customHeight="1" x14ac:dyDescent="0.3">
      <c r="B12" s="78" t="s">
        <v>120</v>
      </c>
      <c r="C12" s="71"/>
      <c r="D12" s="70" t="s">
        <v>121</v>
      </c>
      <c r="E12" s="71"/>
      <c r="F12" s="71"/>
    </row>
    <row r="13" spans="2:6" ht="38.4" customHeight="1" x14ac:dyDescent="0.3">
      <c r="B13" s="78" t="s">
        <v>122</v>
      </c>
      <c r="C13" s="71"/>
      <c r="D13" s="70" t="s">
        <v>123</v>
      </c>
      <c r="E13" s="71"/>
      <c r="F13" s="71"/>
    </row>
    <row r="14" spans="2:6" ht="38.4" customHeight="1" x14ac:dyDescent="0.3">
      <c r="B14" s="80" t="s">
        <v>124</v>
      </c>
      <c r="C14" s="71"/>
      <c r="D14" s="70" t="s">
        <v>125</v>
      </c>
      <c r="E14" s="71"/>
      <c r="F14" s="71"/>
    </row>
    <row r="15" spans="2:6" ht="38.4" customHeight="1" x14ac:dyDescent="0.3">
      <c r="B15" s="78" t="s">
        <v>126</v>
      </c>
      <c r="C15" s="71"/>
      <c r="D15" s="70" t="s">
        <v>127</v>
      </c>
      <c r="E15" s="71"/>
      <c r="F15" s="71"/>
    </row>
    <row r="16" spans="2:6" ht="10.050000000000001" customHeight="1" x14ac:dyDescent="0.3"/>
    <row r="17" spans="2:6" ht="53.55" customHeight="1" x14ac:dyDescent="0.3">
      <c r="B17" s="81" t="s">
        <v>128</v>
      </c>
      <c r="C17" s="69"/>
      <c r="D17" s="69"/>
      <c r="E17" s="69"/>
      <c r="F17" s="69"/>
    </row>
    <row r="18" spans="2:6" ht="10.050000000000001" customHeight="1" x14ac:dyDescent="0.3"/>
    <row r="19" spans="2:6" ht="24" customHeight="1" x14ac:dyDescent="0.3">
      <c r="B19" s="72" t="s">
        <v>129</v>
      </c>
      <c r="C19" s="69"/>
      <c r="D19" s="69"/>
      <c r="E19" s="69"/>
      <c r="F19" s="69"/>
    </row>
    <row r="20" spans="2:6" ht="23.25" customHeight="1" x14ac:dyDescent="0.3">
      <c r="B20" s="80" t="s">
        <v>130</v>
      </c>
      <c r="C20" s="71"/>
      <c r="D20" s="70" t="s">
        <v>131</v>
      </c>
      <c r="E20" s="71"/>
      <c r="F20" s="71"/>
    </row>
    <row r="21" spans="2:6" ht="23.25" customHeight="1" x14ac:dyDescent="0.3">
      <c r="B21" s="79" t="s">
        <v>132</v>
      </c>
      <c r="C21" s="71"/>
      <c r="D21" s="70" t="s">
        <v>133</v>
      </c>
      <c r="E21" s="71"/>
      <c r="F21" s="71"/>
    </row>
    <row r="22" spans="2:6" ht="23.25" customHeight="1" x14ac:dyDescent="0.3">
      <c r="B22" s="75" t="s">
        <v>134</v>
      </c>
      <c r="C22" s="71"/>
      <c r="D22" s="70" t="s">
        <v>135</v>
      </c>
      <c r="E22" s="71"/>
      <c r="F22" s="71"/>
    </row>
    <row r="23" spans="2:6" ht="10.050000000000001" customHeight="1" x14ac:dyDescent="0.3"/>
    <row r="24" spans="2:6" ht="24" customHeight="1" x14ac:dyDescent="0.3">
      <c r="B24" s="72" t="s">
        <v>136</v>
      </c>
      <c r="C24" s="69"/>
      <c r="D24" s="69"/>
      <c r="E24" s="69"/>
      <c r="F24" s="69"/>
    </row>
    <row r="25" spans="2:6" ht="30" customHeight="1" x14ac:dyDescent="0.3">
      <c r="B25" s="55" t="s">
        <v>137</v>
      </c>
      <c r="C25" s="55" t="s">
        <v>138</v>
      </c>
      <c r="D25" s="55" t="s">
        <v>139</v>
      </c>
      <c r="E25" s="55" t="s">
        <v>140</v>
      </c>
      <c r="F25" s="55" t="s">
        <v>141</v>
      </c>
    </row>
    <row r="26" spans="2:6" ht="38.4" customHeight="1" x14ac:dyDescent="0.3">
      <c r="B26" s="56" t="s">
        <v>142</v>
      </c>
      <c r="C26" s="57" t="s">
        <v>2</v>
      </c>
      <c r="D26" s="58" t="s">
        <v>132</v>
      </c>
      <c r="E26" s="54" t="s">
        <v>143</v>
      </c>
      <c r="F26" s="54" t="s">
        <v>144</v>
      </c>
    </row>
    <row r="27" spans="2:6" ht="53.55" customHeight="1" x14ac:dyDescent="0.3">
      <c r="B27" s="56" t="s">
        <v>145</v>
      </c>
      <c r="C27" s="57" t="s">
        <v>3</v>
      </c>
      <c r="D27" s="58" t="s">
        <v>132</v>
      </c>
      <c r="E27" s="54" t="s">
        <v>146</v>
      </c>
      <c r="F27" s="54" t="s">
        <v>147</v>
      </c>
    </row>
    <row r="28" spans="2:6" ht="68.849999999999994" customHeight="1" x14ac:dyDescent="0.3">
      <c r="B28" s="56" t="s">
        <v>148</v>
      </c>
      <c r="C28" s="57" t="s">
        <v>19</v>
      </c>
      <c r="D28" s="59" t="s">
        <v>130</v>
      </c>
      <c r="E28" s="54" t="s">
        <v>149</v>
      </c>
      <c r="F28" s="54" t="s">
        <v>150</v>
      </c>
    </row>
    <row r="29" spans="2:6" ht="84" customHeight="1" x14ac:dyDescent="0.3">
      <c r="B29" s="56" t="s">
        <v>151</v>
      </c>
      <c r="C29" s="57" t="s">
        <v>6</v>
      </c>
      <c r="D29" s="59" t="s">
        <v>130</v>
      </c>
      <c r="E29" s="54" t="s">
        <v>152</v>
      </c>
      <c r="F29" s="54" t="s">
        <v>153</v>
      </c>
    </row>
    <row r="30" spans="2:6" ht="68.849999999999994" customHeight="1" x14ac:dyDescent="0.3">
      <c r="B30" s="56" t="s">
        <v>154</v>
      </c>
      <c r="C30" s="57" t="s">
        <v>7</v>
      </c>
      <c r="D30" s="59" t="s">
        <v>130</v>
      </c>
      <c r="E30" s="54" t="s">
        <v>155</v>
      </c>
      <c r="F30" s="54" t="s">
        <v>156</v>
      </c>
    </row>
    <row r="31" spans="2:6" ht="68.849999999999994" customHeight="1" x14ac:dyDescent="0.3">
      <c r="B31" s="56" t="s">
        <v>157</v>
      </c>
      <c r="C31" s="57" t="s">
        <v>78</v>
      </c>
      <c r="D31" s="59" t="s">
        <v>130</v>
      </c>
      <c r="E31" s="54" t="s">
        <v>158</v>
      </c>
      <c r="F31" s="54" t="s">
        <v>159</v>
      </c>
    </row>
    <row r="32" spans="2:6" ht="68.849999999999994" customHeight="1" x14ac:dyDescent="0.3">
      <c r="B32" s="56" t="s">
        <v>160</v>
      </c>
      <c r="C32" s="57" t="s">
        <v>65</v>
      </c>
      <c r="D32" s="59" t="s">
        <v>130</v>
      </c>
      <c r="E32" s="54" t="s">
        <v>161</v>
      </c>
      <c r="F32" s="54" t="s">
        <v>162</v>
      </c>
    </row>
    <row r="33" spans="2:6" ht="38.4" customHeight="1" x14ac:dyDescent="0.3">
      <c r="B33" s="56" t="s">
        <v>163</v>
      </c>
      <c r="C33" s="57" t="s">
        <v>11</v>
      </c>
      <c r="D33" s="58" t="s">
        <v>132</v>
      </c>
      <c r="E33" s="54" t="s">
        <v>164</v>
      </c>
      <c r="F33" s="54" t="s">
        <v>165</v>
      </c>
    </row>
    <row r="34" spans="2:6" ht="53.55" customHeight="1" x14ac:dyDescent="0.3">
      <c r="B34" s="56" t="s">
        <v>166</v>
      </c>
      <c r="C34" s="57" t="s">
        <v>12</v>
      </c>
      <c r="D34" s="58" t="s">
        <v>132</v>
      </c>
      <c r="E34" s="54" t="s">
        <v>167</v>
      </c>
      <c r="F34" s="54" t="s">
        <v>168</v>
      </c>
    </row>
    <row r="35" spans="2:6" ht="84" customHeight="1" x14ac:dyDescent="0.3">
      <c r="B35" s="56" t="s">
        <v>169</v>
      </c>
      <c r="C35" s="57" t="s">
        <v>13</v>
      </c>
      <c r="D35" s="59" t="s">
        <v>130</v>
      </c>
      <c r="E35" s="54" t="s">
        <v>170</v>
      </c>
      <c r="F35" s="54" t="s">
        <v>171</v>
      </c>
    </row>
    <row r="36" spans="2:6" ht="84" customHeight="1" x14ac:dyDescent="0.3">
      <c r="B36" s="56" t="s">
        <v>172</v>
      </c>
      <c r="C36" s="57" t="s">
        <v>173</v>
      </c>
      <c r="D36" s="58" t="s">
        <v>132</v>
      </c>
      <c r="E36" s="54" t="s">
        <v>174</v>
      </c>
      <c r="F36" s="54" t="s">
        <v>175</v>
      </c>
    </row>
    <row r="37" spans="2:6" ht="114.45" customHeight="1" x14ac:dyDescent="0.3">
      <c r="B37" s="56" t="s">
        <v>176</v>
      </c>
      <c r="C37" s="57" t="s">
        <v>110</v>
      </c>
      <c r="D37" s="59" t="s">
        <v>177</v>
      </c>
      <c r="E37" s="54" t="s">
        <v>178</v>
      </c>
      <c r="F37" s="54" t="s">
        <v>179</v>
      </c>
    </row>
    <row r="38" spans="2:6" ht="10.050000000000001" customHeight="1" x14ac:dyDescent="0.3"/>
    <row r="39" spans="2:6" ht="24" customHeight="1" x14ac:dyDescent="0.3">
      <c r="B39" s="72" t="s">
        <v>180</v>
      </c>
      <c r="C39" s="69"/>
      <c r="D39" s="69"/>
      <c r="E39" s="69"/>
      <c r="F39" s="69"/>
    </row>
    <row r="40" spans="2:6" ht="30" customHeight="1" x14ac:dyDescent="0.3">
      <c r="B40" s="55" t="s">
        <v>181</v>
      </c>
      <c r="C40" s="55" t="s">
        <v>182</v>
      </c>
      <c r="D40" s="55" t="s">
        <v>139</v>
      </c>
      <c r="E40" s="55" t="s">
        <v>183</v>
      </c>
      <c r="F40" s="55" t="s">
        <v>184</v>
      </c>
    </row>
    <row r="41" spans="2:6" ht="23.25" customHeight="1" x14ac:dyDescent="0.3">
      <c r="B41" s="56" t="s">
        <v>185</v>
      </c>
      <c r="C41" s="57" t="s">
        <v>13</v>
      </c>
      <c r="D41" s="60" t="s">
        <v>126</v>
      </c>
      <c r="E41" s="54" t="s">
        <v>186</v>
      </c>
      <c r="F41" s="54" t="s">
        <v>187</v>
      </c>
    </row>
    <row r="42" spans="2:6" ht="38.4" customHeight="1" x14ac:dyDescent="0.3">
      <c r="B42" s="56" t="s">
        <v>188</v>
      </c>
      <c r="C42" s="57" t="s">
        <v>98</v>
      </c>
      <c r="D42" s="60" t="s">
        <v>126</v>
      </c>
      <c r="E42" s="54" t="s">
        <v>189</v>
      </c>
      <c r="F42" s="54" t="s">
        <v>190</v>
      </c>
    </row>
    <row r="43" spans="2:6" ht="38.4" customHeight="1" x14ac:dyDescent="0.3">
      <c r="B43" s="56" t="s">
        <v>191</v>
      </c>
      <c r="C43" s="57" t="s">
        <v>192</v>
      </c>
      <c r="D43" s="60" t="s">
        <v>126</v>
      </c>
      <c r="E43" s="54" t="s">
        <v>193</v>
      </c>
      <c r="F43" s="54" t="s">
        <v>194</v>
      </c>
    </row>
    <row r="44" spans="2:6" ht="10.050000000000001" customHeight="1" x14ac:dyDescent="0.3"/>
    <row r="45" spans="2:6" ht="24" customHeight="1" x14ac:dyDescent="0.3">
      <c r="B45" s="72" t="s">
        <v>195</v>
      </c>
      <c r="C45" s="69"/>
      <c r="D45" s="69"/>
      <c r="E45" s="69"/>
      <c r="F45" s="69"/>
    </row>
    <row r="46" spans="2:6" ht="23.1" customHeight="1" x14ac:dyDescent="0.3">
      <c r="B46" s="68" t="s">
        <v>196</v>
      </c>
      <c r="C46" s="69"/>
      <c r="D46" s="69"/>
      <c r="E46" s="69"/>
      <c r="F46" s="69"/>
    </row>
    <row r="47" spans="2:6" ht="23.1" customHeight="1" x14ac:dyDescent="0.3">
      <c r="B47" s="68" t="s">
        <v>197</v>
      </c>
      <c r="C47" s="69"/>
      <c r="D47" s="69"/>
      <c r="E47" s="69"/>
      <c r="F47" s="69"/>
    </row>
    <row r="48" spans="2:6" ht="23.1" customHeight="1" x14ac:dyDescent="0.3">
      <c r="B48" s="68" t="s">
        <v>198</v>
      </c>
      <c r="C48" s="69"/>
      <c r="D48" s="69"/>
      <c r="E48" s="69"/>
      <c r="F48" s="69"/>
    </row>
    <row r="49" spans="2:6" ht="23.1" customHeight="1" x14ac:dyDescent="0.3">
      <c r="B49" s="68" t="s">
        <v>199</v>
      </c>
      <c r="C49" s="69"/>
      <c r="D49" s="69"/>
      <c r="E49" s="69"/>
      <c r="F49" s="69"/>
    </row>
    <row r="50" spans="2:6" ht="23.1" customHeight="1" x14ac:dyDescent="0.3">
      <c r="B50" s="68" t="s">
        <v>200</v>
      </c>
      <c r="C50" s="69"/>
      <c r="D50" s="69"/>
      <c r="E50" s="69"/>
      <c r="F50" s="69"/>
    </row>
    <row r="51" spans="2:6" ht="23.1" customHeight="1" x14ac:dyDescent="0.3">
      <c r="B51" s="68" t="s">
        <v>201</v>
      </c>
      <c r="C51" s="69"/>
      <c r="D51" s="69"/>
      <c r="E51" s="69"/>
      <c r="F51" s="69"/>
    </row>
    <row r="52" spans="2:6" ht="23.1" customHeight="1" x14ac:dyDescent="0.3">
      <c r="B52" s="68" t="s">
        <v>202</v>
      </c>
      <c r="C52" s="69"/>
      <c r="D52" s="69"/>
      <c r="E52" s="69"/>
      <c r="F52" s="69"/>
    </row>
    <row r="53" spans="2:6" ht="10.050000000000001" customHeight="1" x14ac:dyDescent="0.3"/>
    <row r="54" spans="2:6" ht="24" customHeight="1" x14ac:dyDescent="0.3">
      <c r="B54" s="72" t="s">
        <v>203</v>
      </c>
      <c r="C54" s="69"/>
      <c r="D54" s="69"/>
      <c r="E54" s="69"/>
      <c r="F54" s="69"/>
    </row>
    <row r="55" spans="2:6" ht="38.4" customHeight="1" x14ac:dyDescent="0.3">
      <c r="B55" s="74" t="s">
        <v>204</v>
      </c>
      <c r="C55" s="69"/>
      <c r="D55" s="69"/>
      <c r="E55" s="69"/>
      <c r="F55" s="69"/>
    </row>
    <row r="56" spans="2:6" ht="10.050000000000001" customHeight="1" x14ac:dyDescent="0.3"/>
    <row r="57" spans="2:6" ht="24" customHeight="1" x14ac:dyDescent="0.3">
      <c r="B57" s="72" t="s">
        <v>205</v>
      </c>
      <c r="C57" s="69"/>
      <c r="D57" s="69"/>
      <c r="E57" s="69"/>
      <c r="F57" s="69"/>
    </row>
    <row r="58" spans="2:6" ht="27.3" customHeight="1" x14ac:dyDescent="0.3">
      <c r="B58" s="77" t="s">
        <v>206</v>
      </c>
      <c r="C58" s="69"/>
      <c r="D58" s="69"/>
      <c r="E58" s="69"/>
      <c r="F58" s="69"/>
    </row>
    <row r="59" spans="2:6" ht="38.4" customHeight="1" x14ac:dyDescent="0.3">
      <c r="B59" s="74" t="s">
        <v>207</v>
      </c>
      <c r="C59" s="69"/>
      <c r="D59" s="69"/>
      <c r="E59" s="69"/>
      <c r="F59" s="69"/>
    </row>
    <row r="60" spans="2:6" ht="23.1" customHeight="1" x14ac:dyDescent="0.3">
      <c r="B60" s="68" t="s">
        <v>208</v>
      </c>
      <c r="C60" s="69"/>
      <c r="D60" s="69"/>
      <c r="E60" s="69"/>
      <c r="F60" s="69"/>
    </row>
    <row r="61" spans="2:6" ht="23.1" customHeight="1" x14ac:dyDescent="0.3">
      <c r="B61" s="68" t="s">
        <v>209</v>
      </c>
      <c r="C61" s="69"/>
      <c r="D61" s="69"/>
      <c r="E61" s="69"/>
      <c r="F61" s="69"/>
    </row>
    <row r="62" spans="2:6" ht="23.1" customHeight="1" x14ac:dyDescent="0.3">
      <c r="B62" s="68" t="s">
        <v>210</v>
      </c>
      <c r="C62" s="69"/>
      <c r="D62" s="69"/>
      <c r="E62" s="69"/>
      <c r="F62" s="69"/>
    </row>
    <row r="63" spans="2:6" ht="23.1" customHeight="1" x14ac:dyDescent="0.3">
      <c r="B63" s="68" t="s">
        <v>211</v>
      </c>
      <c r="C63" s="69"/>
      <c r="D63" s="69"/>
      <c r="E63" s="69"/>
      <c r="F63" s="69"/>
    </row>
    <row r="64" spans="2:6" ht="23.1" customHeight="1" x14ac:dyDescent="0.3">
      <c r="B64" s="68" t="s">
        <v>212</v>
      </c>
      <c r="C64" s="69"/>
      <c r="D64" s="69"/>
      <c r="E64" s="69"/>
      <c r="F64" s="69"/>
    </row>
    <row r="65" spans="2:6" ht="23.1" customHeight="1" x14ac:dyDescent="0.3">
      <c r="B65" s="68" t="s">
        <v>213</v>
      </c>
      <c r="C65" s="69"/>
      <c r="D65" s="69"/>
      <c r="E65" s="69"/>
      <c r="F65" s="69"/>
    </row>
    <row r="66" spans="2:6" ht="23.1" customHeight="1" x14ac:dyDescent="0.3">
      <c r="B66" s="68" t="s">
        <v>214</v>
      </c>
      <c r="C66" s="69"/>
      <c r="D66" s="69"/>
      <c r="E66" s="69"/>
      <c r="F66" s="69"/>
    </row>
    <row r="67" spans="2:6" ht="10.050000000000001" customHeight="1" x14ac:dyDescent="0.3"/>
  </sheetData>
  <sheetProtection sheet="1"/>
  <mergeCells count="46">
    <mergeCell ref="B64:F64"/>
    <mergeCell ref="B20:C20"/>
    <mergeCell ref="D22:F22"/>
    <mergeCell ref="B5:F5"/>
    <mergeCell ref="B51:F51"/>
    <mergeCell ref="B45:F45"/>
    <mergeCell ref="B63:F63"/>
    <mergeCell ref="D21:F21"/>
    <mergeCell ref="B50:F50"/>
    <mergeCell ref="C1:F2"/>
    <mergeCell ref="B58:F58"/>
    <mergeCell ref="B12:C12"/>
    <mergeCell ref="B52:F52"/>
    <mergeCell ref="B21:C21"/>
    <mergeCell ref="B39:F39"/>
    <mergeCell ref="B48:F48"/>
    <mergeCell ref="B11:F11"/>
    <mergeCell ref="D12:F12"/>
    <mergeCell ref="B14:C14"/>
    <mergeCell ref="B8:F8"/>
    <mergeCell ref="B17:F17"/>
    <mergeCell ref="D15:F15"/>
    <mergeCell ref="B57:F57"/>
    <mergeCell ref="B13:C13"/>
    <mergeCell ref="D14:F14"/>
    <mergeCell ref="B3:F3"/>
    <mergeCell ref="B59:F59"/>
    <mergeCell ref="B66:F66"/>
    <mergeCell ref="B22:C22"/>
    <mergeCell ref="B46:F46"/>
    <mergeCell ref="B60:F60"/>
    <mergeCell ref="B61:F61"/>
    <mergeCell ref="B10:F10"/>
    <mergeCell ref="B19:F19"/>
    <mergeCell ref="D20:F20"/>
    <mergeCell ref="B49:F49"/>
    <mergeCell ref="B65:F65"/>
    <mergeCell ref="B55:F55"/>
    <mergeCell ref="B6:F6"/>
    <mergeCell ref="B15:C15"/>
    <mergeCell ref="B24:F24"/>
    <mergeCell ref="B7:F7"/>
    <mergeCell ref="D13:F13"/>
    <mergeCell ref="B47:F47"/>
    <mergeCell ref="B54:F54"/>
    <mergeCell ref="B62:F62"/>
  </mergeCells>
  <printOptions horizontalCentered="1"/>
  <pageMargins left="0.4" right="0.4" top="1" bottom="1" header="0.5" footer="0.5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AF76B-7F87-4FDA-9BF1-AE2F3BE94D06}">
  <dimension ref="B1:S207"/>
  <sheetViews>
    <sheetView showGridLines="0" showRuler="0" zoomScale="99" zoomScaleNormal="99" zoomScalePageLayoutView="85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18" sqref="D18"/>
    </sheetView>
  </sheetViews>
  <sheetFormatPr defaultRowHeight="13.8" x14ac:dyDescent="0.3"/>
  <cols>
    <col min="1" max="1" width="0.6640625" style="15" customWidth="1"/>
    <col min="2" max="2" width="13.77734375" style="15" customWidth="1"/>
    <col min="3" max="3" width="37.109375" style="15" bestFit="1" customWidth="1"/>
    <col min="4" max="4" width="14.88671875" style="15" customWidth="1"/>
    <col min="5" max="5" width="12.33203125" style="15" customWidth="1"/>
    <col min="6" max="6" width="12.77734375" style="15" customWidth="1"/>
    <col min="7" max="7" width="17.33203125" style="15" customWidth="1"/>
    <col min="8" max="8" width="17" style="15" customWidth="1"/>
    <col min="9" max="9" width="21.44140625" style="29" customWidth="1"/>
    <col min="10" max="10" width="13.6640625" style="15" customWidth="1"/>
    <col min="11" max="11" width="15.6640625" style="15" customWidth="1"/>
    <col min="12" max="12" width="10.5546875" style="15" customWidth="1"/>
    <col min="13" max="13" width="20.77734375" style="15" bestFit="1" customWidth="1"/>
    <col min="14" max="14" width="2.5546875" style="15" customWidth="1"/>
    <col min="15" max="15" width="12.6640625" style="15" bestFit="1" customWidth="1"/>
    <col min="16" max="16" width="8.88671875" style="15"/>
    <col min="17" max="17" width="2.44140625" style="15" customWidth="1"/>
    <col min="18" max="18" width="13.5546875" style="15" bestFit="1" customWidth="1"/>
    <col min="19" max="19" width="11.21875" style="15" bestFit="1" customWidth="1"/>
    <col min="20" max="16384" width="8.88671875" style="15"/>
  </cols>
  <sheetData>
    <row r="1" spans="2:19" ht="6" customHeight="1" x14ac:dyDescent="0.3"/>
    <row r="2" spans="2:19" ht="60" customHeight="1" x14ac:dyDescent="0.3">
      <c r="B2" s="48" t="s">
        <v>0</v>
      </c>
      <c r="C2" s="67" t="s">
        <v>15</v>
      </c>
      <c r="D2" s="67"/>
      <c r="E2" s="67"/>
      <c r="F2" s="67"/>
      <c r="G2" s="67"/>
      <c r="H2" s="67"/>
      <c r="I2" s="67"/>
      <c r="J2" s="67"/>
      <c r="K2" s="67"/>
      <c r="L2" s="67"/>
      <c r="M2" s="67"/>
    </row>
    <row r="3" spans="2:19" ht="6" customHeight="1" x14ac:dyDescent="0.3"/>
    <row r="4" spans="2:19" ht="32.4" customHeight="1" x14ac:dyDescent="0.3">
      <c r="B4" s="65" t="s">
        <v>1</v>
      </c>
      <c r="C4" s="65"/>
      <c r="D4" s="66" t="s">
        <v>4</v>
      </c>
      <c r="E4" s="66"/>
      <c r="F4" s="66"/>
      <c r="G4" s="65" t="s">
        <v>5</v>
      </c>
      <c r="H4" s="66" t="s">
        <v>9</v>
      </c>
      <c r="I4" s="64" t="s">
        <v>10</v>
      </c>
      <c r="J4" s="64"/>
      <c r="K4" s="64"/>
      <c r="L4" s="66" t="s">
        <v>14</v>
      </c>
      <c r="M4" s="66"/>
    </row>
    <row r="5" spans="2:19" s="16" customFormat="1" ht="34.200000000000003" customHeight="1" x14ac:dyDescent="0.3">
      <c r="B5" s="49" t="s">
        <v>2</v>
      </c>
      <c r="C5" s="49" t="s">
        <v>3</v>
      </c>
      <c r="D5" s="49" t="s">
        <v>8</v>
      </c>
      <c r="E5" s="49" t="s">
        <v>6</v>
      </c>
      <c r="F5" s="49" t="s">
        <v>7</v>
      </c>
      <c r="G5" s="65"/>
      <c r="H5" s="66"/>
      <c r="I5" s="50" t="s">
        <v>11</v>
      </c>
      <c r="J5" s="49" t="s">
        <v>12</v>
      </c>
      <c r="K5" s="49" t="s">
        <v>13</v>
      </c>
      <c r="L5" s="49" t="s">
        <v>42</v>
      </c>
      <c r="M5" s="49" t="s">
        <v>110</v>
      </c>
      <c r="O5" s="63" t="s">
        <v>95</v>
      </c>
      <c r="P5" s="63"/>
      <c r="R5" s="63" t="s">
        <v>98</v>
      </c>
      <c r="S5" s="63"/>
    </row>
    <row r="6" spans="2:19" x14ac:dyDescent="0.3">
      <c r="B6" s="51">
        <f>'Seleção dos Fornecedores'!B6</f>
        <v>1</v>
      </c>
      <c r="C6" s="14">
        <f>'Critérios de Seleção de Fornece'!C6</f>
        <v>0</v>
      </c>
      <c r="D6" s="14"/>
      <c r="E6" s="14"/>
      <c r="F6" s="14"/>
      <c r="G6" s="14"/>
      <c r="H6" s="14"/>
      <c r="I6" s="52" t="e">
        <f>AVERAGE(D6:H6)</f>
        <v>#DIV/0!</v>
      </c>
      <c r="J6" s="14">
        <f>'Seleção dos Fornecedores'!M6</f>
        <v>0</v>
      </c>
      <c r="K6" s="14"/>
      <c r="L6" s="23" t="e">
        <f>((5-I6)/4)*0.3 + (J6/4)*0.4 + (K6/4)*0.3</f>
        <v>#DIV/0!</v>
      </c>
      <c r="M6" s="23"/>
      <c r="O6" s="14" t="s">
        <v>97</v>
      </c>
      <c r="P6" s="14">
        <v>2</v>
      </c>
      <c r="R6" s="14" t="s">
        <v>99</v>
      </c>
      <c r="S6" s="14" t="s">
        <v>102</v>
      </c>
    </row>
    <row r="7" spans="2:19" x14ac:dyDescent="0.3">
      <c r="B7" s="51">
        <f>'Seleção dos Fornecedores'!B7</f>
        <v>2</v>
      </c>
      <c r="C7" s="14">
        <f>'Critérios de Seleção de Fornece'!C7</f>
        <v>0</v>
      </c>
      <c r="D7" s="14"/>
      <c r="E7" s="14"/>
      <c r="F7" s="14"/>
      <c r="G7" s="14"/>
      <c r="H7" s="14"/>
      <c r="I7" s="27" t="e">
        <f t="shared" ref="I7:I25" si="0">AVERAGE(D7:H7)</f>
        <v>#DIV/0!</v>
      </c>
      <c r="J7" s="14">
        <f>'Seleção dos Fornecedores'!M7</f>
        <v>0</v>
      </c>
      <c r="K7" s="14"/>
      <c r="L7" s="27" t="e">
        <f t="shared" ref="L7:L9" si="1">((5-I7)/4)*0.5 + (J7/5)*0.3 + (K7/5)*0.2</f>
        <v>#DIV/0!</v>
      </c>
      <c r="M7" s="27"/>
      <c r="O7" s="14" t="s">
        <v>56</v>
      </c>
      <c r="P7" s="14">
        <v>3</v>
      </c>
      <c r="R7" s="14" t="s">
        <v>109</v>
      </c>
      <c r="S7" s="14" t="s">
        <v>101</v>
      </c>
    </row>
    <row r="8" spans="2:19" x14ac:dyDescent="0.3">
      <c r="B8" s="51">
        <f>'Seleção dos Fornecedores'!B8</f>
        <v>3</v>
      </c>
      <c r="C8" s="14">
        <f>'Critérios de Seleção de Fornece'!C8</f>
        <v>0</v>
      </c>
      <c r="D8" s="14"/>
      <c r="E8" s="14"/>
      <c r="F8" s="14"/>
      <c r="G8" s="14"/>
      <c r="H8" s="14"/>
      <c r="I8" s="27" t="e">
        <f t="shared" si="0"/>
        <v>#DIV/0!</v>
      </c>
      <c r="J8" s="14">
        <f>'Seleção dos Fornecedores'!M8</f>
        <v>0</v>
      </c>
      <c r="K8" s="14"/>
      <c r="L8" s="27" t="e">
        <f t="shared" si="1"/>
        <v>#DIV/0!</v>
      </c>
      <c r="M8" s="27"/>
      <c r="O8" s="14" t="s">
        <v>96</v>
      </c>
      <c r="P8" s="14">
        <v>5</v>
      </c>
      <c r="R8" s="14" t="s">
        <v>100</v>
      </c>
      <c r="S8" s="14" t="s">
        <v>103</v>
      </c>
    </row>
    <row r="9" spans="2:19" x14ac:dyDescent="0.3">
      <c r="B9" s="51">
        <f>'Seleção dos Fornecedores'!B9</f>
        <v>4</v>
      </c>
      <c r="C9" s="14">
        <f>'Critérios de Seleção de Fornece'!C9</f>
        <v>0</v>
      </c>
      <c r="D9" s="14"/>
      <c r="E9" s="14"/>
      <c r="F9" s="14"/>
      <c r="G9" s="14"/>
      <c r="H9" s="14"/>
      <c r="I9" s="27" t="e">
        <f t="shared" si="0"/>
        <v>#DIV/0!</v>
      </c>
      <c r="J9" s="14">
        <f>'Seleção dos Fornecedores'!M9</f>
        <v>0</v>
      </c>
      <c r="K9" s="14"/>
      <c r="L9" s="27" t="e">
        <f t="shared" si="1"/>
        <v>#DIV/0!</v>
      </c>
      <c r="M9" s="27"/>
    </row>
    <row r="10" spans="2:19" x14ac:dyDescent="0.3">
      <c r="B10" s="51">
        <f>'Seleção dos Fornecedores'!B10</f>
        <v>5</v>
      </c>
      <c r="C10" s="14">
        <f>'Critérios de Seleção de Fornece'!C10</f>
        <v>0</v>
      </c>
      <c r="D10" s="14"/>
      <c r="E10" s="14"/>
      <c r="F10" s="14"/>
      <c r="G10" s="14"/>
      <c r="H10" s="14"/>
      <c r="I10" s="52" t="e">
        <f t="shared" si="0"/>
        <v>#DIV/0!</v>
      </c>
      <c r="J10" s="14">
        <f>'Seleção dos Fornecedores'!M10</f>
        <v>0</v>
      </c>
      <c r="K10" s="14"/>
      <c r="L10" s="23" t="e">
        <f>((5-I10)/4)*0.3 + (J10/4)*0.4 + (K10/4)*0.3</f>
        <v>#DIV/0!</v>
      </c>
      <c r="M10" s="23"/>
      <c r="O10" s="62" t="s">
        <v>111</v>
      </c>
      <c r="P10" s="62"/>
      <c r="Q10" s="62"/>
      <c r="R10" s="62"/>
      <c r="S10" s="62"/>
    </row>
    <row r="11" spans="2:19" x14ac:dyDescent="0.3">
      <c r="B11" s="51">
        <f>'Seleção dos Fornecedores'!B11</f>
        <v>6</v>
      </c>
      <c r="C11" s="14">
        <f>'Critérios de Seleção de Fornece'!C11</f>
        <v>0</v>
      </c>
      <c r="D11" s="14"/>
      <c r="E11" s="14"/>
      <c r="F11" s="14"/>
      <c r="G11" s="14"/>
      <c r="H11" s="14"/>
      <c r="I11" s="52" t="e">
        <f t="shared" si="0"/>
        <v>#DIV/0!</v>
      </c>
      <c r="J11" s="14">
        <f>'Seleção dos Fornecedores'!M11</f>
        <v>0</v>
      </c>
      <c r="K11" s="14"/>
      <c r="L11" s="23" t="e">
        <f t="shared" ref="L11:L25" si="2">((5-I11)/4)*0.3 + (J11/4)*0.4 + (K11/4)*0.3</f>
        <v>#DIV/0!</v>
      </c>
      <c r="M11" s="23"/>
      <c r="O11" s="62"/>
      <c r="P11" s="62"/>
      <c r="Q11" s="62"/>
      <c r="R11" s="62"/>
      <c r="S11" s="62"/>
    </row>
    <row r="12" spans="2:19" x14ac:dyDescent="0.3">
      <c r="B12" s="51">
        <f>'Seleção dos Fornecedores'!B12</f>
        <v>7</v>
      </c>
      <c r="C12" s="14">
        <f>'Critérios de Seleção de Fornece'!C12</f>
        <v>0</v>
      </c>
      <c r="D12" s="14"/>
      <c r="E12" s="14"/>
      <c r="F12" s="14"/>
      <c r="G12" s="14"/>
      <c r="H12" s="14"/>
      <c r="I12" s="52" t="e">
        <f t="shared" si="0"/>
        <v>#DIV/0!</v>
      </c>
      <c r="J12" s="14">
        <f>'Seleção dos Fornecedores'!M12</f>
        <v>0</v>
      </c>
      <c r="K12" s="14"/>
      <c r="L12" s="23" t="e">
        <f t="shared" si="2"/>
        <v>#DIV/0!</v>
      </c>
      <c r="M12" s="23"/>
    </row>
    <row r="13" spans="2:19" x14ac:dyDescent="0.3">
      <c r="B13" s="51">
        <f>'Seleção dos Fornecedores'!B13</f>
        <v>8</v>
      </c>
      <c r="C13" s="14">
        <f>'Critérios de Seleção de Fornece'!C13</f>
        <v>0</v>
      </c>
      <c r="D13" s="14"/>
      <c r="E13" s="14"/>
      <c r="F13" s="14"/>
      <c r="G13" s="14"/>
      <c r="H13" s="14"/>
      <c r="I13" s="52" t="e">
        <f t="shared" si="0"/>
        <v>#DIV/0!</v>
      </c>
      <c r="J13" s="14">
        <f>'Seleção dos Fornecedores'!M13</f>
        <v>0</v>
      </c>
      <c r="K13" s="14"/>
      <c r="L13" s="23" t="e">
        <f t="shared" si="2"/>
        <v>#DIV/0!</v>
      </c>
      <c r="M13" s="23"/>
    </row>
    <row r="14" spans="2:19" x14ac:dyDescent="0.3">
      <c r="B14" s="51">
        <f>'Seleção dos Fornecedores'!B14</f>
        <v>9</v>
      </c>
      <c r="C14" s="14">
        <f>'Critérios de Seleção de Fornece'!C14</f>
        <v>0</v>
      </c>
      <c r="D14" s="14"/>
      <c r="E14" s="14"/>
      <c r="F14" s="14"/>
      <c r="G14" s="14"/>
      <c r="H14" s="14"/>
      <c r="I14" s="52" t="e">
        <f t="shared" si="0"/>
        <v>#DIV/0!</v>
      </c>
      <c r="J14" s="14">
        <f>'Seleção dos Fornecedores'!M14</f>
        <v>0</v>
      </c>
      <c r="K14" s="14"/>
      <c r="L14" s="23" t="e">
        <f t="shared" si="2"/>
        <v>#DIV/0!</v>
      </c>
      <c r="M14" s="23"/>
    </row>
    <row r="15" spans="2:19" x14ac:dyDescent="0.3">
      <c r="B15" s="51">
        <f>'Seleção dos Fornecedores'!B15</f>
        <v>10</v>
      </c>
      <c r="C15" s="14">
        <f>'Critérios de Seleção de Fornece'!C15</f>
        <v>0</v>
      </c>
      <c r="D15" s="14"/>
      <c r="E15" s="14"/>
      <c r="F15" s="14"/>
      <c r="G15" s="14"/>
      <c r="H15" s="14"/>
      <c r="I15" s="52" t="e">
        <f t="shared" si="0"/>
        <v>#DIV/0!</v>
      </c>
      <c r="J15" s="14">
        <f>'Seleção dos Fornecedores'!M15</f>
        <v>0</v>
      </c>
      <c r="K15" s="14"/>
      <c r="L15" s="23" t="e">
        <f t="shared" si="2"/>
        <v>#DIV/0!</v>
      </c>
      <c r="M15" s="23"/>
    </row>
    <row r="16" spans="2:19" x14ac:dyDescent="0.3">
      <c r="B16" s="51">
        <f>'Seleção dos Fornecedores'!B16</f>
        <v>11</v>
      </c>
      <c r="C16" s="14">
        <f>'Critérios de Seleção de Fornece'!C16</f>
        <v>0</v>
      </c>
      <c r="D16" s="14"/>
      <c r="E16" s="14"/>
      <c r="F16" s="14"/>
      <c r="G16" s="14"/>
      <c r="H16" s="14"/>
      <c r="I16" s="52" t="e">
        <f t="shared" si="0"/>
        <v>#DIV/0!</v>
      </c>
      <c r="J16" s="14">
        <f>'Seleção dos Fornecedores'!M16</f>
        <v>0</v>
      </c>
      <c r="K16" s="14"/>
      <c r="L16" s="23" t="e">
        <f t="shared" si="2"/>
        <v>#DIV/0!</v>
      </c>
      <c r="M16" s="23"/>
    </row>
    <row r="17" spans="2:13" x14ac:dyDescent="0.3">
      <c r="B17" s="51">
        <f>'Seleção dos Fornecedores'!B17</f>
        <v>12</v>
      </c>
      <c r="C17" s="14">
        <f>'Critérios de Seleção de Fornece'!C17</f>
        <v>0</v>
      </c>
      <c r="D17" s="14"/>
      <c r="E17" s="14"/>
      <c r="F17" s="14"/>
      <c r="G17" s="14"/>
      <c r="H17" s="14"/>
      <c r="I17" s="52" t="e">
        <f t="shared" si="0"/>
        <v>#DIV/0!</v>
      </c>
      <c r="J17" s="14">
        <f>'Seleção dos Fornecedores'!M17</f>
        <v>0</v>
      </c>
      <c r="K17" s="14"/>
      <c r="L17" s="23" t="e">
        <f t="shared" si="2"/>
        <v>#DIV/0!</v>
      </c>
      <c r="M17" s="23"/>
    </row>
    <row r="18" spans="2:13" x14ac:dyDescent="0.3">
      <c r="B18" s="51">
        <f>'Seleção dos Fornecedores'!B18</f>
        <v>13</v>
      </c>
      <c r="C18" s="14">
        <f>'Critérios de Seleção de Fornece'!C18</f>
        <v>0</v>
      </c>
      <c r="D18" s="14"/>
      <c r="E18" s="14"/>
      <c r="F18" s="14"/>
      <c r="G18" s="14"/>
      <c r="H18" s="14"/>
      <c r="I18" s="52" t="e">
        <f t="shared" si="0"/>
        <v>#DIV/0!</v>
      </c>
      <c r="J18" s="14">
        <f>'Seleção dos Fornecedores'!M18</f>
        <v>0</v>
      </c>
      <c r="K18" s="14"/>
      <c r="L18" s="23" t="e">
        <f t="shared" si="2"/>
        <v>#DIV/0!</v>
      </c>
      <c r="M18" s="23"/>
    </row>
    <row r="19" spans="2:13" x14ac:dyDescent="0.3">
      <c r="B19" s="51">
        <f>'Seleção dos Fornecedores'!B19</f>
        <v>14</v>
      </c>
      <c r="C19" s="14">
        <f>'Critérios de Seleção de Fornece'!C19</f>
        <v>0</v>
      </c>
      <c r="D19" s="14"/>
      <c r="E19" s="14"/>
      <c r="F19" s="14"/>
      <c r="G19" s="14"/>
      <c r="H19" s="14"/>
      <c r="I19" s="52" t="e">
        <f t="shared" si="0"/>
        <v>#DIV/0!</v>
      </c>
      <c r="J19" s="14">
        <f>'Seleção dos Fornecedores'!M19</f>
        <v>0</v>
      </c>
      <c r="K19" s="14"/>
      <c r="L19" s="23" t="e">
        <f t="shared" si="2"/>
        <v>#DIV/0!</v>
      </c>
      <c r="M19" s="23"/>
    </row>
    <row r="20" spans="2:13" x14ac:dyDescent="0.3">
      <c r="B20" s="51">
        <f>'Seleção dos Fornecedores'!B20</f>
        <v>15</v>
      </c>
      <c r="C20" s="14">
        <f>'Critérios de Seleção de Fornece'!C20</f>
        <v>0</v>
      </c>
      <c r="D20" s="14"/>
      <c r="E20" s="14"/>
      <c r="F20" s="14"/>
      <c r="G20" s="14"/>
      <c r="H20" s="14"/>
      <c r="I20" s="52" t="e">
        <f t="shared" si="0"/>
        <v>#DIV/0!</v>
      </c>
      <c r="J20" s="14">
        <f>'Seleção dos Fornecedores'!M20</f>
        <v>0</v>
      </c>
      <c r="K20" s="14"/>
      <c r="L20" s="23" t="e">
        <f t="shared" si="2"/>
        <v>#DIV/0!</v>
      </c>
      <c r="M20" s="23"/>
    </row>
    <row r="21" spans="2:13" x14ac:dyDescent="0.3">
      <c r="B21" s="51">
        <f>'Seleção dos Fornecedores'!B21</f>
        <v>16</v>
      </c>
      <c r="C21" s="14">
        <f>'Critérios de Seleção de Fornece'!C21</f>
        <v>0</v>
      </c>
      <c r="D21" s="14"/>
      <c r="E21" s="14"/>
      <c r="F21" s="14"/>
      <c r="G21" s="14"/>
      <c r="H21" s="14"/>
      <c r="I21" s="52" t="e">
        <f t="shared" si="0"/>
        <v>#DIV/0!</v>
      </c>
      <c r="J21" s="14">
        <f>'Seleção dos Fornecedores'!M21</f>
        <v>0</v>
      </c>
      <c r="K21" s="14"/>
      <c r="L21" s="23" t="e">
        <f t="shared" si="2"/>
        <v>#DIV/0!</v>
      </c>
      <c r="M21" s="23"/>
    </row>
    <row r="22" spans="2:13" x14ac:dyDescent="0.3">
      <c r="B22" s="51">
        <f>'Seleção dos Fornecedores'!B22</f>
        <v>17</v>
      </c>
      <c r="C22" s="14">
        <f>'Critérios de Seleção de Fornece'!C22</f>
        <v>0</v>
      </c>
      <c r="D22" s="14"/>
      <c r="E22" s="14"/>
      <c r="F22" s="14"/>
      <c r="G22" s="14"/>
      <c r="H22" s="14"/>
      <c r="I22" s="52" t="e">
        <f t="shared" si="0"/>
        <v>#DIV/0!</v>
      </c>
      <c r="J22" s="14">
        <f>'Seleção dos Fornecedores'!M22</f>
        <v>0</v>
      </c>
      <c r="K22" s="14"/>
      <c r="L22" s="23" t="e">
        <f t="shared" si="2"/>
        <v>#DIV/0!</v>
      </c>
      <c r="M22" s="23"/>
    </row>
    <row r="23" spans="2:13" x14ac:dyDescent="0.3">
      <c r="B23" s="51">
        <f>'Seleção dos Fornecedores'!B23</f>
        <v>18</v>
      </c>
      <c r="C23" s="14">
        <f>'Critérios de Seleção de Fornece'!C23</f>
        <v>0</v>
      </c>
      <c r="D23" s="14"/>
      <c r="E23" s="14"/>
      <c r="F23" s="14"/>
      <c r="G23" s="14"/>
      <c r="H23" s="14"/>
      <c r="I23" s="52" t="e">
        <f t="shared" si="0"/>
        <v>#DIV/0!</v>
      </c>
      <c r="J23" s="14">
        <f>'Seleção dos Fornecedores'!M23</f>
        <v>0</v>
      </c>
      <c r="K23" s="14"/>
      <c r="L23" s="23" t="e">
        <f t="shared" si="2"/>
        <v>#DIV/0!</v>
      </c>
      <c r="M23" s="23"/>
    </row>
    <row r="24" spans="2:13" x14ac:dyDescent="0.3">
      <c r="B24" s="51">
        <f>'Seleção dos Fornecedores'!B24</f>
        <v>19</v>
      </c>
      <c r="C24" s="14">
        <f>'Critérios de Seleção de Fornece'!C24</f>
        <v>0</v>
      </c>
      <c r="D24" s="14"/>
      <c r="E24" s="14"/>
      <c r="F24" s="14"/>
      <c r="G24" s="14"/>
      <c r="H24" s="14"/>
      <c r="I24" s="52" t="e">
        <f t="shared" si="0"/>
        <v>#DIV/0!</v>
      </c>
      <c r="J24" s="14">
        <f>'Seleção dos Fornecedores'!M24</f>
        <v>0</v>
      </c>
      <c r="K24" s="14"/>
      <c r="L24" s="23" t="e">
        <f t="shared" si="2"/>
        <v>#DIV/0!</v>
      </c>
      <c r="M24" s="23"/>
    </row>
    <row r="25" spans="2:13" x14ac:dyDescent="0.3">
      <c r="B25" s="51">
        <f>'Seleção dos Fornecedores'!B25</f>
        <v>20</v>
      </c>
      <c r="C25" s="14">
        <f>'Critérios de Seleção de Fornece'!C25</f>
        <v>0</v>
      </c>
      <c r="D25" s="14"/>
      <c r="E25" s="14"/>
      <c r="F25" s="14"/>
      <c r="G25" s="14"/>
      <c r="H25" s="14"/>
      <c r="I25" s="52" t="e">
        <f t="shared" si="0"/>
        <v>#DIV/0!</v>
      </c>
      <c r="J25" s="14">
        <f>'Seleção dos Fornecedores'!M25</f>
        <v>0</v>
      </c>
      <c r="K25" s="14"/>
      <c r="L25" s="23" t="e">
        <f t="shared" si="2"/>
        <v>#DIV/0!</v>
      </c>
      <c r="M25" s="23"/>
    </row>
    <row r="26" spans="2:13" x14ac:dyDescent="0.3">
      <c r="B26" s="51">
        <f>'Seleção dos Fornecedores'!B26</f>
        <v>21</v>
      </c>
      <c r="C26" s="14">
        <f>'Critérios de Seleção de Fornece'!C26</f>
        <v>0</v>
      </c>
      <c r="D26" s="14"/>
      <c r="E26" s="14"/>
      <c r="F26" s="14"/>
      <c r="G26" s="14"/>
      <c r="H26" s="14"/>
      <c r="I26" s="52" t="e">
        <f t="shared" ref="I26:I89" si="3">AVERAGE(D26:H26)</f>
        <v>#DIV/0!</v>
      </c>
      <c r="J26" s="14">
        <f>'Seleção dos Fornecedores'!M26</f>
        <v>0</v>
      </c>
      <c r="K26" s="14"/>
      <c r="L26" s="23" t="e">
        <f t="shared" ref="L26:L89" si="4">((5-I26)/4)*0.3 + (J26/4)*0.4 + (K26/4)*0.3</f>
        <v>#DIV/0!</v>
      </c>
      <c r="M26" s="23"/>
    </row>
    <row r="27" spans="2:13" x14ac:dyDescent="0.3">
      <c r="B27" s="51">
        <f>'Seleção dos Fornecedores'!B27</f>
        <v>22</v>
      </c>
      <c r="C27" s="14">
        <f>'Critérios de Seleção de Fornece'!C27</f>
        <v>0</v>
      </c>
      <c r="D27" s="14"/>
      <c r="E27" s="14"/>
      <c r="F27" s="14"/>
      <c r="G27" s="14"/>
      <c r="H27" s="14"/>
      <c r="I27" s="52" t="e">
        <f t="shared" si="3"/>
        <v>#DIV/0!</v>
      </c>
      <c r="J27" s="14">
        <f>'Seleção dos Fornecedores'!M27</f>
        <v>0</v>
      </c>
      <c r="K27" s="14"/>
      <c r="L27" s="23" t="e">
        <f t="shared" si="4"/>
        <v>#DIV/0!</v>
      </c>
      <c r="M27" s="23"/>
    </row>
    <row r="28" spans="2:13" x14ac:dyDescent="0.3">
      <c r="B28" s="51">
        <f>'Seleção dos Fornecedores'!B28</f>
        <v>23</v>
      </c>
      <c r="C28" s="14">
        <f>'Critérios de Seleção de Fornece'!C28</f>
        <v>0</v>
      </c>
      <c r="D28" s="14"/>
      <c r="E28" s="14"/>
      <c r="F28" s="14"/>
      <c r="G28" s="14"/>
      <c r="H28" s="14"/>
      <c r="I28" s="52" t="e">
        <f t="shared" si="3"/>
        <v>#DIV/0!</v>
      </c>
      <c r="J28" s="14">
        <f>'Seleção dos Fornecedores'!M28</f>
        <v>0</v>
      </c>
      <c r="K28" s="14"/>
      <c r="L28" s="23" t="e">
        <f t="shared" si="4"/>
        <v>#DIV/0!</v>
      </c>
      <c r="M28" s="23"/>
    </row>
    <row r="29" spans="2:13" x14ac:dyDescent="0.3">
      <c r="B29" s="51">
        <f>'Seleção dos Fornecedores'!B29</f>
        <v>24</v>
      </c>
      <c r="C29" s="14">
        <f>'Critérios de Seleção de Fornece'!C29</f>
        <v>0</v>
      </c>
      <c r="D29" s="14"/>
      <c r="E29" s="14"/>
      <c r="F29" s="14"/>
      <c r="G29" s="14"/>
      <c r="H29" s="14"/>
      <c r="I29" s="52" t="e">
        <f t="shared" si="3"/>
        <v>#DIV/0!</v>
      </c>
      <c r="J29" s="14">
        <f>'Seleção dos Fornecedores'!M29</f>
        <v>0</v>
      </c>
      <c r="K29" s="14"/>
      <c r="L29" s="23" t="e">
        <f t="shared" si="4"/>
        <v>#DIV/0!</v>
      </c>
      <c r="M29" s="23"/>
    </row>
    <row r="30" spans="2:13" x14ac:dyDescent="0.3">
      <c r="B30" s="51">
        <f>'Seleção dos Fornecedores'!B30</f>
        <v>25</v>
      </c>
      <c r="C30" s="14">
        <f>'Critérios de Seleção de Fornece'!C30</f>
        <v>0</v>
      </c>
      <c r="D30" s="14"/>
      <c r="E30" s="14"/>
      <c r="F30" s="14"/>
      <c r="G30" s="14"/>
      <c r="H30" s="14"/>
      <c r="I30" s="52" t="e">
        <f t="shared" si="3"/>
        <v>#DIV/0!</v>
      </c>
      <c r="J30" s="14">
        <f>'Seleção dos Fornecedores'!M30</f>
        <v>0</v>
      </c>
      <c r="K30" s="14"/>
      <c r="L30" s="23" t="e">
        <f t="shared" si="4"/>
        <v>#DIV/0!</v>
      </c>
      <c r="M30" s="23"/>
    </row>
    <row r="31" spans="2:13" x14ac:dyDescent="0.3">
      <c r="B31" s="51">
        <f>'Seleção dos Fornecedores'!B31</f>
        <v>26</v>
      </c>
      <c r="C31" s="14">
        <f>'Critérios de Seleção de Fornece'!C31</f>
        <v>0</v>
      </c>
      <c r="D31" s="14"/>
      <c r="E31" s="14"/>
      <c r="F31" s="14"/>
      <c r="G31" s="14"/>
      <c r="H31" s="14"/>
      <c r="I31" s="52" t="e">
        <f t="shared" si="3"/>
        <v>#DIV/0!</v>
      </c>
      <c r="J31" s="14">
        <f>'Seleção dos Fornecedores'!M31</f>
        <v>0</v>
      </c>
      <c r="K31" s="14"/>
      <c r="L31" s="23" t="e">
        <f t="shared" si="4"/>
        <v>#DIV/0!</v>
      </c>
      <c r="M31" s="23"/>
    </row>
    <row r="32" spans="2:13" x14ac:dyDescent="0.3">
      <c r="B32" s="51">
        <f>'Seleção dos Fornecedores'!B32</f>
        <v>27</v>
      </c>
      <c r="C32" s="14">
        <f>'Critérios de Seleção de Fornece'!C32</f>
        <v>0</v>
      </c>
      <c r="D32" s="14"/>
      <c r="E32" s="14"/>
      <c r="F32" s="14"/>
      <c r="G32" s="14"/>
      <c r="H32" s="14"/>
      <c r="I32" s="52" t="e">
        <f t="shared" si="3"/>
        <v>#DIV/0!</v>
      </c>
      <c r="J32" s="14">
        <f>'Seleção dos Fornecedores'!M32</f>
        <v>0</v>
      </c>
      <c r="K32" s="14"/>
      <c r="L32" s="23" t="e">
        <f t="shared" si="4"/>
        <v>#DIV/0!</v>
      </c>
      <c r="M32" s="23"/>
    </row>
    <row r="33" spans="2:13" x14ac:dyDescent="0.3">
      <c r="B33" s="51">
        <f>'Seleção dos Fornecedores'!B33</f>
        <v>28</v>
      </c>
      <c r="C33" s="14">
        <f>'Critérios de Seleção de Fornece'!C33</f>
        <v>0</v>
      </c>
      <c r="D33" s="14"/>
      <c r="E33" s="14"/>
      <c r="F33" s="14"/>
      <c r="G33" s="14"/>
      <c r="H33" s="14"/>
      <c r="I33" s="52" t="e">
        <f t="shared" si="3"/>
        <v>#DIV/0!</v>
      </c>
      <c r="J33" s="14">
        <f>'Seleção dos Fornecedores'!M33</f>
        <v>0</v>
      </c>
      <c r="K33" s="14"/>
      <c r="L33" s="23" t="e">
        <f t="shared" si="4"/>
        <v>#DIV/0!</v>
      </c>
      <c r="M33" s="23"/>
    </row>
    <row r="34" spans="2:13" x14ac:dyDescent="0.3">
      <c r="B34" s="51">
        <f>'Seleção dos Fornecedores'!B34</f>
        <v>29</v>
      </c>
      <c r="C34" s="14">
        <f>'Critérios de Seleção de Fornece'!C34</f>
        <v>0</v>
      </c>
      <c r="D34" s="14"/>
      <c r="E34" s="14"/>
      <c r="F34" s="14"/>
      <c r="G34" s="14"/>
      <c r="H34" s="14"/>
      <c r="I34" s="52" t="e">
        <f t="shared" si="3"/>
        <v>#DIV/0!</v>
      </c>
      <c r="J34" s="14">
        <f>'Seleção dos Fornecedores'!M34</f>
        <v>0</v>
      </c>
      <c r="K34" s="14"/>
      <c r="L34" s="23" t="e">
        <f t="shared" si="4"/>
        <v>#DIV/0!</v>
      </c>
      <c r="M34" s="23"/>
    </row>
    <row r="35" spans="2:13" x14ac:dyDescent="0.3">
      <c r="B35" s="51">
        <f>'Seleção dos Fornecedores'!B35</f>
        <v>30</v>
      </c>
      <c r="C35" s="14">
        <f>'Critérios de Seleção de Fornece'!C35</f>
        <v>0</v>
      </c>
      <c r="D35" s="14"/>
      <c r="E35" s="14"/>
      <c r="F35" s="14"/>
      <c r="G35" s="14"/>
      <c r="H35" s="14"/>
      <c r="I35" s="52" t="e">
        <f t="shared" si="3"/>
        <v>#DIV/0!</v>
      </c>
      <c r="J35" s="14">
        <f>'Seleção dos Fornecedores'!M35</f>
        <v>0</v>
      </c>
      <c r="K35" s="14"/>
      <c r="L35" s="23" t="e">
        <f t="shared" si="4"/>
        <v>#DIV/0!</v>
      </c>
      <c r="M35" s="23"/>
    </row>
    <row r="36" spans="2:13" x14ac:dyDescent="0.3">
      <c r="B36" s="51">
        <f>'Seleção dos Fornecedores'!B36</f>
        <v>31</v>
      </c>
      <c r="C36" s="14">
        <f>'Critérios de Seleção de Fornece'!C36</f>
        <v>0</v>
      </c>
      <c r="D36" s="14"/>
      <c r="E36" s="14"/>
      <c r="F36" s="14"/>
      <c r="G36" s="14"/>
      <c r="H36" s="14"/>
      <c r="I36" s="52" t="e">
        <f t="shared" si="3"/>
        <v>#DIV/0!</v>
      </c>
      <c r="J36" s="14">
        <f>'Seleção dos Fornecedores'!M36</f>
        <v>0</v>
      </c>
      <c r="K36" s="14"/>
      <c r="L36" s="23" t="e">
        <f t="shared" si="4"/>
        <v>#DIV/0!</v>
      </c>
      <c r="M36" s="23"/>
    </row>
    <row r="37" spans="2:13" x14ac:dyDescent="0.3">
      <c r="B37" s="51">
        <f>'Seleção dos Fornecedores'!B37</f>
        <v>32</v>
      </c>
      <c r="C37" s="14">
        <f>'Critérios de Seleção de Fornece'!C37</f>
        <v>0</v>
      </c>
      <c r="D37" s="14"/>
      <c r="E37" s="14"/>
      <c r="F37" s="14"/>
      <c r="G37" s="14"/>
      <c r="H37" s="14"/>
      <c r="I37" s="52" t="e">
        <f t="shared" si="3"/>
        <v>#DIV/0!</v>
      </c>
      <c r="J37" s="14">
        <f>'Seleção dos Fornecedores'!M37</f>
        <v>0</v>
      </c>
      <c r="K37" s="14"/>
      <c r="L37" s="23" t="e">
        <f t="shared" si="4"/>
        <v>#DIV/0!</v>
      </c>
      <c r="M37" s="23"/>
    </row>
    <row r="38" spans="2:13" x14ac:dyDescent="0.3">
      <c r="B38" s="51">
        <f>'Seleção dos Fornecedores'!B38</f>
        <v>33</v>
      </c>
      <c r="C38" s="14">
        <f>'Critérios de Seleção de Fornece'!C38</f>
        <v>0</v>
      </c>
      <c r="D38" s="14"/>
      <c r="E38" s="14"/>
      <c r="F38" s="14"/>
      <c r="G38" s="14"/>
      <c r="H38" s="14"/>
      <c r="I38" s="52" t="e">
        <f t="shared" si="3"/>
        <v>#DIV/0!</v>
      </c>
      <c r="J38" s="14">
        <f>'Seleção dos Fornecedores'!M38</f>
        <v>0</v>
      </c>
      <c r="K38" s="14"/>
      <c r="L38" s="23" t="e">
        <f t="shared" si="4"/>
        <v>#DIV/0!</v>
      </c>
      <c r="M38" s="23"/>
    </row>
    <row r="39" spans="2:13" x14ac:dyDescent="0.3">
      <c r="B39" s="51">
        <f>'Seleção dos Fornecedores'!B39</f>
        <v>34</v>
      </c>
      <c r="C39" s="14">
        <f>'Critérios de Seleção de Fornece'!C39</f>
        <v>0</v>
      </c>
      <c r="D39" s="14"/>
      <c r="E39" s="14"/>
      <c r="F39" s="14"/>
      <c r="G39" s="14"/>
      <c r="H39" s="14"/>
      <c r="I39" s="52" t="e">
        <f t="shared" si="3"/>
        <v>#DIV/0!</v>
      </c>
      <c r="J39" s="14">
        <f>'Seleção dos Fornecedores'!M39</f>
        <v>0</v>
      </c>
      <c r="K39" s="14"/>
      <c r="L39" s="23" t="e">
        <f t="shared" si="4"/>
        <v>#DIV/0!</v>
      </c>
      <c r="M39" s="23"/>
    </row>
    <row r="40" spans="2:13" x14ac:dyDescent="0.3">
      <c r="B40" s="51">
        <f>'Seleção dos Fornecedores'!B40</f>
        <v>35</v>
      </c>
      <c r="C40" s="14">
        <f>'Critérios de Seleção de Fornece'!C40</f>
        <v>0</v>
      </c>
      <c r="D40" s="14"/>
      <c r="E40" s="14"/>
      <c r="F40" s="14"/>
      <c r="G40" s="14"/>
      <c r="H40" s="14"/>
      <c r="I40" s="52" t="e">
        <f t="shared" si="3"/>
        <v>#DIV/0!</v>
      </c>
      <c r="J40" s="14">
        <f>'Seleção dos Fornecedores'!M40</f>
        <v>0</v>
      </c>
      <c r="K40" s="14"/>
      <c r="L40" s="23" t="e">
        <f t="shared" si="4"/>
        <v>#DIV/0!</v>
      </c>
      <c r="M40" s="23"/>
    </row>
    <row r="41" spans="2:13" x14ac:dyDescent="0.3">
      <c r="B41" s="51">
        <f>'Seleção dos Fornecedores'!B41</f>
        <v>36</v>
      </c>
      <c r="C41" s="14">
        <f>'Critérios de Seleção de Fornece'!C41</f>
        <v>0</v>
      </c>
      <c r="D41" s="14"/>
      <c r="E41" s="14"/>
      <c r="F41" s="14"/>
      <c r="G41" s="14"/>
      <c r="H41" s="14"/>
      <c r="I41" s="52" t="e">
        <f t="shared" si="3"/>
        <v>#DIV/0!</v>
      </c>
      <c r="J41" s="14">
        <f>'Seleção dos Fornecedores'!M41</f>
        <v>0</v>
      </c>
      <c r="K41" s="14"/>
      <c r="L41" s="23" t="e">
        <f t="shared" si="4"/>
        <v>#DIV/0!</v>
      </c>
      <c r="M41" s="23"/>
    </row>
    <row r="42" spans="2:13" x14ac:dyDescent="0.3">
      <c r="B42" s="51">
        <f>'Seleção dos Fornecedores'!B42</f>
        <v>37</v>
      </c>
      <c r="C42" s="14">
        <f>'Critérios de Seleção de Fornece'!C42</f>
        <v>0</v>
      </c>
      <c r="D42" s="14"/>
      <c r="E42" s="14"/>
      <c r="F42" s="14"/>
      <c r="G42" s="14"/>
      <c r="H42" s="14"/>
      <c r="I42" s="52" t="e">
        <f t="shared" si="3"/>
        <v>#DIV/0!</v>
      </c>
      <c r="J42" s="14">
        <f>'Seleção dos Fornecedores'!M42</f>
        <v>0</v>
      </c>
      <c r="K42" s="14"/>
      <c r="L42" s="23" t="e">
        <f t="shared" si="4"/>
        <v>#DIV/0!</v>
      </c>
      <c r="M42" s="23"/>
    </row>
    <row r="43" spans="2:13" x14ac:dyDescent="0.3">
      <c r="B43" s="51">
        <f>'Seleção dos Fornecedores'!B43</f>
        <v>38</v>
      </c>
      <c r="C43" s="14">
        <f>'Critérios de Seleção de Fornece'!C43</f>
        <v>0</v>
      </c>
      <c r="D43" s="14"/>
      <c r="E43" s="14"/>
      <c r="F43" s="14"/>
      <c r="G43" s="14"/>
      <c r="H43" s="14"/>
      <c r="I43" s="52" t="e">
        <f t="shared" si="3"/>
        <v>#DIV/0!</v>
      </c>
      <c r="J43" s="14">
        <f>'Seleção dos Fornecedores'!M43</f>
        <v>0</v>
      </c>
      <c r="K43" s="14"/>
      <c r="L43" s="23" t="e">
        <f t="shared" si="4"/>
        <v>#DIV/0!</v>
      </c>
      <c r="M43" s="23"/>
    </row>
    <row r="44" spans="2:13" x14ac:dyDescent="0.3">
      <c r="B44" s="51">
        <f>'Seleção dos Fornecedores'!B44</f>
        <v>39</v>
      </c>
      <c r="C44" s="14">
        <f>'Critérios de Seleção de Fornece'!C44</f>
        <v>0</v>
      </c>
      <c r="D44" s="14"/>
      <c r="E44" s="14"/>
      <c r="F44" s="14"/>
      <c r="G44" s="14"/>
      <c r="H44" s="14"/>
      <c r="I44" s="52" t="e">
        <f t="shared" si="3"/>
        <v>#DIV/0!</v>
      </c>
      <c r="J44" s="14">
        <f>'Seleção dos Fornecedores'!M44</f>
        <v>0</v>
      </c>
      <c r="K44" s="14"/>
      <c r="L44" s="23" t="e">
        <f t="shared" si="4"/>
        <v>#DIV/0!</v>
      </c>
      <c r="M44" s="23"/>
    </row>
    <row r="45" spans="2:13" x14ac:dyDescent="0.3">
      <c r="B45" s="51">
        <f>'Seleção dos Fornecedores'!B45</f>
        <v>40</v>
      </c>
      <c r="C45" s="14">
        <f>'Critérios de Seleção de Fornece'!C45</f>
        <v>0</v>
      </c>
      <c r="D45" s="14"/>
      <c r="E45" s="14"/>
      <c r="F45" s="14"/>
      <c r="G45" s="14"/>
      <c r="H45" s="14"/>
      <c r="I45" s="52" t="e">
        <f t="shared" si="3"/>
        <v>#DIV/0!</v>
      </c>
      <c r="J45" s="14">
        <f>'Seleção dos Fornecedores'!M45</f>
        <v>0</v>
      </c>
      <c r="K45" s="14"/>
      <c r="L45" s="23" t="e">
        <f t="shared" si="4"/>
        <v>#DIV/0!</v>
      </c>
      <c r="M45" s="23"/>
    </row>
    <row r="46" spans="2:13" x14ac:dyDescent="0.3">
      <c r="B46" s="51">
        <f>'Seleção dos Fornecedores'!B46</f>
        <v>41</v>
      </c>
      <c r="C46" s="14">
        <f>'Critérios de Seleção de Fornece'!C46</f>
        <v>0</v>
      </c>
      <c r="D46" s="14"/>
      <c r="E46" s="14"/>
      <c r="F46" s="14"/>
      <c r="G46" s="14"/>
      <c r="H46" s="14"/>
      <c r="I46" s="52" t="e">
        <f t="shared" si="3"/>
        <v>#DIV/0!</v>
      </c>
      <c r="J46" s="14">
        <f>'Seleção dos Fornecedores'!M46</f>
        <v>0</v>
      </c>
      <c r="K46" s="14"/>
      <c r="L46" s="23" t="e">
        <f t="shared" si="4"/>
        <v>#DIV/0!</v>
      </c>
      <c r="M46" s="23"/>
    </row>
    <row r="47" spans="2:13" x14ac:dyDescent="0.3">
      <c r="B47" s="51">
        <f>'Seleção dos Fornecedores'!B47</f>
        <v>42</v>
      </c>
      <c r="C47" s="14">
        <f>'Critérios de Seleção de Fornece'!C47</f>
        <v>0</v>
      </c>
      <c r="D47" s="14"/>
      <c r="E47" s="14"/>
      <c r="F47" s="14"/>
      <c r="G47" s="14"/>
      <c r="H47" s="14"/>
      <c r="I47" s="52" t="e">
        <f t="shared" si="3"/>
        <v>#DIV/0!</v>
      </c>
      <c r="J47" s="14">
        <f>'Seleção dos Fornecedores'!M47</f>
        <v>0</v>
      </c>
      <c r="K47" s="14"/>
      <c r="L47" s="23" t="e">
        <f t="shared" si="4"/>
        <v>#DIV/0!</v>
      </c>
      <c r="M47" s="23"/>
    </row>
    <row r="48" spans="2:13" x14ac:dyDescent="0.3">
      <c r="B48" s="51">
        <f>'Seleção dos Fornecedores'!B48</f>
        <v>43</v>
      </c>
      <c r="C48" s="14">
        <f>'Critérios de Seleção de Fornece'!C48</f>
        <v>0</v>
      </c>
      <c r="D48" s="14"/>
      <c r="E48" s="14"/>
      <c r="F48" s="14"/>
      <c r="G48" s="14"/>
      <c r="H48" s="14"/>
      <c r="I48" s="52" t="e">
        <f t="shared" si="3"/>
        <v>#DIV/0!</v>
      </c>
      <c r="J48" s="14">
        <f>'Seleção dos Fornecedores'!M48</f>
        <v>0</v>
      </c>
      <c r="K48" s="14"/>
      <c r="L48" s="23" t="e">
        <f t="shared" si="4"/>
        <v>#DIV/0!</v>
      </c>
      <c r="M48" s="23"/>
    </row>
    <row r="49" spans="2:13" x14ac:dyDescent="0.3">
      <c r="B49" s="51">
        <f>'Seleção dos Fornecedores'!B49</f>
        <v>44</v>
      </c>
      <c r="C49" s="14">
        <f>'Critérios de Seleção de Fornece'!C49</f>
        <v>0</v>
      </c>
      <c r="D49" s="14"/>
      <c r="E49" s="14"/>
      <c r="F49" s="14"/>
      <c r="G49" s="14"/>
      <c r="H49" s="14"/>
      <c r="I49" s="52" t="e">
        <f t="shared" si="3"/>
        <v>#DIV/0!</v>
      </c>
      <c r="J49" s="14">
        <f>'Seleção dos Fornecedores'!M49</f>
        <v>0</v>
      </c>
      <c r="K49" s="14"/>
      <c r="L49" s="23" t="e">
        <f t="shared" si="4"/>
        <v>#DIV/0!</v>
      </c>
      <c r="M49" s="23"/>
    </row>
    <row r="50" spans="2:13" x14ac:dyDescent="0.3">
      <c r="B50" s="51">
        <f>'Seleção dos Fornecedores'!B50</f>
        <v>45</v>
      </c>
      <c r="C50" s="14">
        <f>'Critérios de Seleção de Fornece'!C50</f>
        <v>0</v>
      </c>
      <c r="D50" s="14"/>
      <c r="E50" s="14"/>
      <c r="F50" s="14"/>
      <c r="G50" s="14"/>
      <c r="H50" s="14"/>
      <c r="I50" s="52" t="e">
        <f t="shared" si="3"/>
        <v>#DIV/0!</v>
      </c>
      <c r="J50" s="14">
        <f>'Seleção dos Fornecedores'!M50</f>
        <v>0</v>
      </c>
      <c r="K50" s="14"/>
      <c r="L50" s="23" t="e">
        <f t="shared" si="4"/>
        <v>#DIV/0!</v>
      </c>
      <c r="M50" s="23"/>
    </row>
    <row r="51" spans="2:13" x14ac:dyDescent="0.3">
      <c r="B51" s="51">
        <f>'Seleção dos Fornecedores'!B51</f>
        <v>46</v>
      </c>
      <c r="C51" s="14">
        <f>'Critérios de Seleção de Fornece'!C51</f>
        <v>0</v>
      </c>
      <c r="D51" s="14"/>
      <c r="E51" s="14"/>
      <c r="F51" s="14"/>
      <c r="G51" s="14"/>
      <c r="H51" s="14"/>
      <c r="I51" s="52" t="e">
        <f t="shared" si="3"/>
        <v>#DIV/0!</v>
      </c>
      <c r="J51" s="14">
        <f>'Seleção dos Fornecedores'!M51</f>
        <v>0</v>
      </c>
      <c r="K51" s="14"/>
      <c r="L51" s="23" t="e">
        <f t="shared" si="4"/>
        <v>#DIV/0!</v>
      </c>
      <c r="M51" s="23"/>
    </row>
    <row r="52" spans="2:13" x14ac:dyDescent="0.3">
      <c r="B52" s="51">
        <f>'Seleção dos Fornecedores'!B52</f>
        <v>47</v>
      </c>
      <c r="C52" s="14">
        <f>'Critérios de Seleção de Fornece'!C52</f>
        <v>0</v>
      </c>
      <c r="D52" s="14"/>
      <c r="E52" s="14"/>
      <c r="F52" s="14"/>
      <c r="G52" s="14"/>
      <c r="H52" s="14"/>
      <c r="I52" s="52" t="e">
        <f t="shared" si="3"/>
        <v>#DIV/0!</v>
      </c>
      <c r="J52" s="14">
        <f>'Seleção dos Fornecedores'!M52</f>
        <v>0</v>
      </c>
      <c r="K52" s="14"/>
      <c r="L52" s="23" t="e">
        <f t="shared" si="4"/>
        <v>#DIV/0!</v>
      </c>
      <c r="M52" s="23"/>
    </row>
    <row r="53" spans="2:13" x14ac:dyDescent="0.3">
      <c r="B53" s="51">
        <f>'Seleção dos Fornecedores'!B53</f>
        <v>48</v>
      </c>
      <c r="C53" s="14">
        <f>'Critérios de Seleção de Fornece'!C53</f>
        <v>0</v>
      </c>
      <c r="D53" s="14"/>
      <c r="E53" s="14"/>
      <c r="F53" s="14"/>
      <c r="G53" s="14"/>
      <c r="H53" s="14"/>
      <c r="I53" s="52" t="e">
        <f t="shared" si="3"/>
        <v>#DIV/0!</v>
      </c>
      <c r="J53" s="14">
        <f>'Seleção dos Fornecedores'!M53</f>
        <v>0</v>
      </c>
      <c r="K53" s="14"/>
      <c r="L53" s="23" t="e">
        <f t="shared" si="4"/>
        <v>#DIV/0!</v>
      </c>
      <c r="M53" s="23"/>
    </row>
    <row r="54" spans="2:13" x14ac:dyDescent="0.3">
      <c r="B54" s="51">
        <f>'Seleção dos Fornecedores'!B54</f>
        <v>49</v>
      </c>
      <c r="C54" s="14">
        <f>'Critérios de Seleção de Fornece'!C54</f>
        <v>0</v>
      </c>
      <c r="D54" s="14"/>
      <c r="E54" s="14"/>
      <c r="F54" s="14"/>
      <c r="G54" s="14"/>
      <c r="H54" s="14"/>
      <c r="I54" s="52" t="e">
        <f t="shared" si="3"/>
        <v>#DIV/0!</v>
      </c>
      <c r="J54" s="14">
        <f>'Seleção dos Fornecedores'!M54</f>
        <v>0</v>
      </c>
      <c r="K54" s="14"/>
      <c r="L54" s="23" t="e">
        <f t="shared" si="4"/>
        <v>#DIV/0!</v>
      </c>
      <c r="M54" s="23"/>
    </row>
    <row r="55" spans="2:13" x14ac:dyDescent="0.3">
      <c r="B55" s="51">
        <f>'Seleção dos Fornecedores'!B55</f>
        <v>50</v>
      </c>
      <c r="C55" s="14">
        <f>'Critérios de Seleção de Fornece'!C55</f>
        <v>0</v>
      </c>
      <c r="D55" s="14"/>
      <c r="E55" s="14"/>
      <c r="F55" s="14"/>
      <c r="G55" s="14"/>
      <c r="H55" s="14"/>
      <c r="I55" s="52" t="e">
        <f t="shared" si="3"/>
        <v>#DIV/0!</v>
      </c>
      <c r="J55" s="14">
        <f>'Seleção dos Fornecedores'!M55</f>
        <v>0</v>
      </c>
      <c r="K55" s="14"/>
      <c r="L55" s="23" t="e">
        <f t="shared" si="4"/>
        <v>#DIV/0!</v>
      </c>
      <c r="M55" s="23"/>
    </row>
    <row r="56" spans="2:13" x14ac:dyDescent="0.3">
      <c r="B56" s="51">
        <f>'Seleção dos Fornecedores'!B56</f>
        <v>51</v>
      </c>
      <c r="C56" s="14">
        <f>'Critérios de Seleção de Fornece'!C56</f>
        <v>0</v>
      </c>
      <c r="D56" s="14"/>
      <c r="E56" s="14"/>
      <c r="F56" s="14"/>
      <c r="G56" s="14"/>
      <c r="H56" s="14"/>
      <c r="I56" s="52" t="e">
        <f t="shared" si="3"/>
        <v>#DIV/0!</v>
      </c>
      <c r="J56" s="14">
        <f>'Seleção dos Fornecedores'!M56</f>
        <v>0</v>
      </c>
      <c r="K56" s="14"/>
      <c r="L56" s="23" t="e">
        <f t="shared" si="4"/>
        <v>#DIV/0!</v>
      </c>
      <c r="M56" s="23"/>
    </row>
    <row r="57" spans="2:13" x14ac:dyDescent="0.3">
      <c r="B57" s="51">
        <f>'Seleção dos Fornecedores'!B57</f>
        <v>52</v>
      </c>
      <c r="C57" s="14">
        <f>'Critérios de Seleção de Fornece'!C57</f>
        <v>0</v>
      </c>
      <c r="D57" s="14"/>
      <c r="E57" s="14"/>
      <c r="F57" s="14"/>
      <c r="G57" s="14"/>
      <c r="H57" s="14"/>
      <c r="I57" s="52" t="e">
        <f t="shared" si="3"/>
        <v>#DIV/0!</v>
      </c>
      <c r="J57" s="14">
        <f>'Seleção dos Fornecedores'!M57</f>
        <v>0</v>
      </c>
      <c r="K57" s="14"/>
      <c r="L57" s="23" t="e">
        <f t="shared" si="4"/>
        <v>#DIV/0!</v>
      </c>
      <c r="M57" s="23"/>
    </row>
    <row r="58" spans="2:13" x14ac:dyDescent="0.3">
      <c r="B58" s="51">
        <f>'Seleção dos Fornecedores'!B58</f>
        <v>53</v>
      </c>
      <c r="C58" s="14">
        <f>'Critérios de Seleção de Fornece'!C58</f>
        <v>0</v>
      </c>
      <c r="D58" s="14"/>
      <c r="E58" s="14"/>
      <c r="F58" s="14"/>
      <c r="G58" s="14"/>
      <c r="H58" s="14"/>
      <c r="I58" s="52" t="e">
        <f t="shared" si="3"/>
        <v>#DIV/0!</v>
      </c>
      <c r="J58" s="14">
        <f>'Seleção dos Fornecedores'!M58</f>
        <v>0</v>
      </c>
      <c r="K58" s="14"/>
      <c r="L58" s="23" t="e">
        <f t="shared" si="4"/>
        <v>#DIV/0!</v>
      </c>
      <c r="M58" s="23"/>
    </row>
    <row r="59" spans="2:13" x14ac:dyDescent="0.3">
      <c r="B59" s="51">
        <f>'Seleção dos Fornecedores'!B59</f>
        <v>54</v>
      </c>
      <c r="C59" s="14">
        <f>'Critérios de Seleção de Fornece'!C59</f>
        <v>0</v>
      </c>
      <c r="D59" s="14"/>
      <c r="E59" s="14"/>
      <c r="F59" s="14"/>
      <c r="G59" s="14"/>
      <c r="H59" s="14"/>
      <c r="I59" s="52" t="e">
        <f t="shared" si="3"/>
        <v>#DIV/0!</v>
      </c>
      <c r="J59" s="14">
        <f>'Seleção dos Fornecedores'!M59</f>
        <v>0</v>
      </c>
      <c r="K59" s="14"/>
      <c r="L59" s="23" t="e">
        <f t="shared" si="4"/>
        <v>#DIV/0!</v>
      </c>
      <c r="M59" s="23"/>
    </row>
    <row r="60" spans="2:13" x14ac:dyDescent="0.3">
      <c r="B60" s="51">
        <f>'Seleção dos Fornecedores'!B60</f>
        <v>55</v>
      </c>
      <c r="C60" s="14">
        <f>'Critérios de Seleção de Fornece'!C60</f>
        <v>0</v>
      </c>
      <c r="D60" s="14"/>
      <c r="E60" s="14"/>
      <c r="F60" s="14"/>
      <c r="G60" s="14"/>
      <c r="H60" s="14"/>
      <c r="I60" s="52" t="e">
        <f t="shared" si="3"/>
        <v>#DIV/0!</v>
      </c>
      <c r="J60" s="14">
        <f>'Seleção dos Fornecedores'!M60</f>
        <v>0</v>
      </c>
      <c r="K60" s="14"/>
      <c r="L60" s="23" t="e">
        <f t="shared" si="4"/>
        <v>#DIV/0!</v>
      </c>
      <c r="M60" s="23"/>
    </row>
    <row r="61" spans="2:13" x14ac:dyDescent="0.3">
      <c r="B61" s="51">
        <f>'Seleção dos Fornecedores'!B61</f>
        <v>56</v>
      </c>
      <c r="C61" s="14">
        <f>'Critérios de Seleção de Fornece'!C61</f>
        <v>0</v>
      </c>
      <c r="D61" s="14"/>
      <c r="E61" s="14"/>
      <c r="F61" s="14"/>
      <c r="G61" s="14"/>
      <c r="H61" s="14"/>
      <c r="I61" s="52" t="e">
        <f t="shared" si="3"/>
        <v>#DIV/0!</v>
      </c>
      <c r="J61" s="14">
        <f>'Seleção dos Fornecedores'!M61</f>
        <v>0</v>
      </c>
      <c r="K61" s="14"/>
      <c r="L61" s="23" t="e">
        <f t="shared" si="4"/>
        <v>#DIV/0!</v>
      </c>
      <c r="M61" s="23"/>
    </row>
    <row r="62" spans="2:13" x14ac:dyDescent="0.3">
      <c r="B62" s="51">
        <f>'Seleção dos Fornecedores'!B62</f>
        <v>57</v>
      </c>
      <c r="C62" s="14">
        <f>'Critérios de Seleção de Fornece'!C62</f>
        <v>0</v>
      </c>
      <c r="D62" s="14"/>
      <c r="E62" s="14"/>
      <c r="F62" s="14"/>
      <c r="G62" s="14"/>
      <c r="H62" s="14"/>
      <c r="I62" s="52" t="e">
        <f t="shared" si="3"/>
        <v>#DIV/0!</v>
      </c>
      <c r="J62" s="14">
        <f>'Seleção dos Fornecedores'!M62</f>
        <v>0</v>
      </c>
      <c r="K62" s="14"/>
      <c r="L62" s="23" t="e">
        <f t="shared" si="4"/>
        <v>#DIV/0!</v>
      </c>
      <c r="M62" s="23"/>
    </row>
    <row r="63" spans="2:13" x14ac:dyDescent="0.3">
      <c r="B63" s="51">
        <f>'Seleção dos Fornecedores'!B63</f>
        <v>58</v>
      </c>
      <c r="C63" s="14">
        <f>'Critérios de Seleção de Fornece'!C63</f>
        <v>0</v>
      </c>
      <c r="D63" s="14"/>
      <c r="E63" s="14"/>
      <c r="F63" s="14"/>
      <c r="G63" s="14"/>
      <c r="H63" s="14"/>
      <c r="I63" s="52" t="e">
        <f t="shared" si="3"/>
        <v>#DIV/0!</v>
      </c>
      <c r="J63" s="14">
        <f>'Seleção dos Fornecedores'!M63</f>
        <v>0</v>
      </c>
      <c r="K63" s="14"/>
      <c r="L63" s="23" t="e">
        <f t="shared" si="4"/>
        <v>#DIV/0!</v>
      </c>
      <c r="M63" s="23"/>
    </row>
    <row r="64" spans="2:13" x14ac:dyDescent="0.3">
      <c r="B64" s="51">
        <f>'Seleção dos Fornecedores'!B64</f>
        <v>59</v>
      </c>
      <c r="C64" s="14">
        <f>'Critérios de Seleção de Fornece'!C64</f>
        <v>0</v>
      </c>
      <c r="D64" s="14"/>
      <c r="E64" s="14"/>
      <c r="F64" s="14"/>
      <c r="G64" s="14"/>
      <c r="H64" s="14"/>
      <c r="I64" s="52" t="e">
        <f t="shared" si="3"/>
        <v>#DIV/0!</v>
      </c>
      <c r="J64" s="14">
        <f>'Seleção dos Fornecedores'!M64</f>
        <v>0</v>
      </c>
      <c r="K64" s="14"/>
      <c r="L64" s="23" t="e">
        <f t="shared" si="4"/>
        <v>#DIV/0!</v>
      </c>
      <c r="M64" s="23"/>
    </row>
    <row r="65" spans="2:13" x14ac:dyDescent="0.3">
      <c r="B65" s="51">
        <f>'Seleção dos Fornecedores'!B65</f>
        <v>60</v>
      </c>
      <c r="C65" s="14">
        <f>'Critérios de Seleção de Fornece'!C65</f>
        <v>0</v>
      </c>
      <c r="D65" s="14"/>
      <c r="E65" s="14"/>
      <c r="F65" s="14"/>
      <c r="G65" s="14"/>
      <c r="H65" s="14"/>
      <c r="I65" s="52" t="e">
        <f t="shared" si="3"/>
        <v>#DIV/0!</v>
      </c>
      <c r="J65" s="14">
        <f>'Seleção dos Fornecedores'!M65</f>
        <v>0</v>
      </c>
      <c r="K65" s="14"/>
      <c r="L65" s="23" t="e">
        <f t="shared" si="4"/>
        <v>#DIV/0!</v>
      </c>
      <c r="M65" s="23"/>
    </row>
    <row r="66" spans="2:13" x14ac:dyDescent="0.3">
      <c r="B66" s="51">
        <f>'Seleção dos Fornecedores'!B66</f>
        <v>61</v>
      </c>
      <c r="C66" s="14">
        <f>'Critérios de Seleção de Fornece'!C66</f>
        <v>0</v>
      </c>
      <c r="D66" s="14"/>
      <c r="E66" s="14"/>
      <c r="F66" s="14"/>
      <c r="G66" s="14"/>
      <c r="H66" s="14"/>
      <c r="I66" s="52" t="e">
        <f t="shared" si="3"/>
        <v>#DIV/0!</v>
      </c>
      <c r="J66" s="14">
        <f>'Seleção dos Fornecedores'!M66</f>
        <v>0</v>
      </c>
      <c r="K66" s="14"/>
      <c r="L66" s="23" t="e">
        <f t="shared" si="4"/>
        <v>#DIV/0!</v>
      </c>
      <c r="M66" s="23"/>
    </row>
    <row r="67" spans="2:13" x14ac:dyDescent="0.3">
      <c r="B67" s="51">
        <f>'Seleção dos Fornecedores'!B67</f>
        <v>62</v>
      </c>
      <c r="C67" s="14">
        <f>'Critérios de Seleção de Fornece'!C67</f>
        <v>0</v>
      </c>
      <c r="D67" s="14"/>
      <c r="E67" s="14"/>
      <c r="F67" s="14"/>
      <c r="G67" s="14"/>
      <c r="H67" s="14"/>
      <c r="I67" s="52" t="e">
        <f t="shared" si="3"/>
        <v>#DIV/0!</v>
      </c>
      <c r="J67" s="14">
        <f>'Seleção dos Fornecedores'!M67</f>
        <v>0</v>
      </c>
      <c r="K67" s="14"/>
      <c r="L67" s="23" t="e">
        <f t="shared" si="4"/>
        <v>#DIV/0!</v>
      </c>
      <c r="M67" s="23"/>
    </row>
    <row r="68" spans="2:13" x14ac:dyDescent="0.3">
      <c r="B68" s="51">
        <f>'Seleção dos Fornecedores'!B68</f>
        <v>63</v>
      </c>
      <c r="C68" s="14">
        <f>'Critérios de Seleção de Fornece'!C68</f>
        <v>0</v>
      </c>
      <c r="D68" s="14"/>
      <c r="E68" s="14"/>
      <c r="F68" s="14"/>
      <c r="G68" s="14"/>
      <c r="H68" s="14"/>
      <c r="I68" s="52" t="e">
        <f t="shared" si="3"/>
        <v>#DIV/0!</v>
      </c>
      <c r="J68" s="14">
        <f>'Seleção dos Fornecedores'!M68</f>
        <v>0</v>
      </c>
      <c r="K68" s="14"/>
      <c r="L68" s="23" t="e">
        <f t="shared" si="4"/>
        <v>#DIV/0!</v>
      </c>
      <c r="M68" s="23"/>
    </row>
    <row r="69" spans="2:13" x14ac:dyDescent="0.3">
      <c r="B69" s="51">
        <f>'Seleção dos Fornecedores'!B69</f>
        <v>64</v>
      </c>
      <c r="C69" s="14">
        <f>'Critérios de Seleção de Fornece'!C69</f>
        <v>0</v>
      </c>
      <c r="D69" s="14"/>
      <c r="E69" s="14"/>
      <c r="F69" s="14"/>
      <c r="G69" s="14"/>
      <c r="H69" s="14"/>
      <c r="I69" s="52" t="e">
        <f t="shared" si="3"/>
        <v>#DIV/0!</v>
      </c>
      <c r="J69" s="14">
        <f>'Seleção dos Fornecedores'!M69</f>
        <v>0</v>
      </c>
      <c r="K69" s="14"/>
      <c r="L69" s="23" t="e">
        <f t="shared" si="4"/>
        <v>#DIV/0!</v>
      </c>
      <c r="M69" s="23"/>
    </row>
    <row r="70" spans="2:13" x14ac:dyDescent="0.3">
      <c r="B70" s="51">
        <f>'Seleção dos Fornecedores'!B70</f>
        <v>65</v>
      </c>
      <c r="C70" s="14">
        <f>'Critérios de Seleção de Fornece'!C70</f>
        <v>0</v>
      </c>
      <c r="D70" s="14"/>
      <c r="E70" s="14"/>
      <c r="F70" s="14"/>
      <c r="G70" s="14"/>
      <c r="H70" s="14"/>
      <c r="I70" s="52" t="e">
        <f t="shared" si="3"/>
        <v>#DIV/0!</v>
      </c>
      <c r="J70" s="14">
        <f>'Seleção dos Fornecedores'!M70</f>
        <v>0</v>
      </c>
      <c r="K70" s="14"/>
      <c r="L70" s="23" t="e">
        <f t="shared" si="4"/>
        <v>#DIV/0!</v>
      </c>
      <c r="M70" s="23"/>
    </row>
    <row r="71" spans="2:13" x14ac:dyDescent="0.3">
      <c r="B71" s="51">
        <f>'Seleção dos Fornecedores'!B71</f>
        <v>66</v>
      </c>
      <c r="C71" s="14">
        <f>'Critérios de Seleção de Fornece'!C71</f>
        <v>0</v>
      </c>
      <c r="D71" s="14"/>
      <c r="E71" s="14"/>
      <c r="F71" s="14"/>
      <c r="G71" s="14"/>
      <c r="H71" s="14"/>
      <c r="I71" s="52" t="e">
        <f t="shared" si="3"/>
        <v>#DIV/0!</v>
      </c>
      <c r="J71" s="14">
        <f>'Seleção dos Fornecedores'!M71</f>
        <v>0</v>
      </c>
      <c r="K71" s="14"/>
      <c r="L71" s="23" t="e">
        <f t="shared" si="4"/>
        <v>#DIV/0!</v>
      </c>
      <c r="M71" s="23"/>
    </row>
    <row r="72" spans="2:13" x14ac:dyDescent="0.3">
      <c r="B72" s="51">
        <f>'Seleção dos Fornecedores'!B72</f>
        <v>67</v>
      </c>
      <c r="C72" s="14">
        <f>'Critérios de Seleção de Fornece'!C72</f>
        <v>0</v>
      </c>
      <c r="D72" s="14"/>
      <c r="E72" s="14"/>
      <c r="F72" s="14"/>
      <c r="G72" s="14"/>
      <c r="H72" s="14"/>
      <c r="I72" s="52" t="e">
        <f t="shared" si="3"/>
        <v>#DIV/0!</v>
      </c>
      <c r="J72" s="14">
        <f>'Seleção dos Fornecedores'!M72</f>
        <v>0</v>
      </c>
      <c r="K72" s="14"/>
      <c r="L72" s="23" t="e">
        <f t="shared" si="4"/>
        <v>#DIV/0!</v>
      </c>
      <c r="M72" s="23"/>
    </row>
    <row r="73" spans="2:13" x14ac:dyDescent="0.3">
      <c r="B73" s="51">
        <f>'Seleção dos Fornecedores'!B73</f>
        <v>68</v>
      </c>
      <c r="C73" s="14">
        <f>'Critérios de Seleção de Fornece'!C73</f>
        <v>0</v>
      </c>
      <c r="D73" s="14"/>
      <c r="E73" s="14"/>
      <c r="F73" s="14"/>
      <c r="G73" s="14"/>
      <c r="H73" s="14"/>
      <c r="I73" s="52" t="e">
        <f t="shared" si="3"/>
        <v>#DIV/0!</v>
      </c>
      <c r="J73" s="14">
        <f>'Seleção dos Fornecedores'!M73</f>
        <v>0</v>
      </c>
      <c r="K73" s="14"/>
      <c r="L73" s="23" t="e">
        <f t="shared" si="4"/>
        <v>#DIV/0!</v>
      </c>
      <c r="M73" s="23"/>
    </row>
    <row r="74" spans="2:13" x14ac:dyDescent="0.3">
      <c r="B74" s="51">
        <f>'Seleção dos Fornecedores'!B74</f>
        <v>69</v>
      </c>
      <c r="C74" s="14">
        <f>'Critérios de Seleção de Fornece'!C74</f>
        <v>0</v>
      </c>
      <c r="D74" s="14"/>
      <c r="E74" s="14"/>
      <c r="F74" s="14"/>
      <c r="G74" s="14"/>
      <c r="H74" s="14"/>
      <c r="I74" s="52" t="e">
        <f t="shared" si="3"/>
        <v>#DIV/0!</v>
      </c>
      <c r="J74" s="14">
        <f>'Seleção dos Fornecedores'!M74</f>
        <v>0</v>
      </c>
      <c r="K74" s="14"/>
      <c r="L74" s="23" t="e">
        <f t="shared" si="4"/>
        <v>#DIV/0!</v>
      </c>
      <c r="M74" s="23"/>
    </row>
    <row r="75" spans="2:13" x14ac:dyDescent="0.3">
      <c r="B75" s="51">
        <f>'Seleção dos Fornecedores'!B75</f>
        <v>70</v>
      </c>
      <c r="C75" s="14">
        <f>'Critérios de Seleção de Fornece'!C75</f>
        <v>0</v>
      </c>
      <c r="D75" s="14"/>
      <c r="E75" s="14"/>
      <c r="F75" s="14"/>
      <c r="G75" s="14"/>
      <c r="H75" s="14"/>
      <c r="I75" s="52" t="e">
        <f t="shared" si="3"/>
        <v>#DIV/0!</v>
      </c>
      <c r="J75" s="14">
        <f>'Seleção dos Fornecedores'!M75</f>
        <v>0</v>
      </c>
      <c r="K75" s="14"/>
      <c r="L75" s="23" t="e">
        <f t="shared" si="4"/>
        <v>#DIV/0!</v>
      </c>
      <c r="M75" s="23"/>
    </row>
    <row r="76" spans="2:13" x14ac:dyDescent="0.3">
      <c r="B76" s="51">
        <f>'Seleção dos Fornecedores'!B76</f>
        <v>71</v>
      </c>
      <c r="C76" s="14">
        <f>'Critérios de Seleção de Fornece'!C76</f>
        <v>0</v>
      </c>
      <c r="D76" s="14"/>
      <c r="E76" s="14"/>
      <c r="F76" s="14"/>
      <c r="G76" s="14"/>
      <c r="H76" s="14"/>
      <c r="I76" s="52" t="e">
        <f t="shared" si="3"/>
        <v>#DIV/0!</v>
      </c>
      <c r="J76" s="14">
        <f>'Seleção dos Fornecedores'!M76</f>
        <v>0</v>
      </c>
      <c r="K76" s="14"/>
      <c r="L76" s="23" t="e">
        <f t="shared" si="4"/>
        <v>#DIV/0!</v>
      </c>
      <c r="M76" s="23"/>
    </row>
    <row r="77" spans="2:13" x14ac:dyDescent="0.3">
      <c r="B77" s="51">
        <f>'Seleção dos Fornecedores'!B77</f>
        <v>72</v>
      </c>
      <c r="C77" s="14">
        <f>'Critérios de Seleção de Fornece'!C77</f>
        <v>0</v>
      </c>
      <c r="D77" s="14"/>
      <c r="E77" s="14"/>
      <c r="F77" s="14"/>
      <c r="G77" s="14"/>
      <c r="H77" s="14"/>
      <c r="I77" s="52" t="e">
        <f t="shared" si="3"/>
        <v>#DIV/0!</v>
      </c>
      <c r="J77" s="14">
        <f>'Seleção dos Fornecedores'!M77</f>
        <v>0</v>
      </c>
      <c r="K77" s="14"/>
      <c r="L77" s="23" t="e">
        <f t="shared" si="4"/>
        <v>#DIV/0!</v>
      </c>
      <c r="M77" s="23"/>
    </row>
    <row r="78" spans="2:13" x14ac:dyDescent="0.3">
      <c r="B78" s="51">
        <f>'Seleção dos Fornecedores'!B78</f>
        <v>73</v>
      </c>
      <c r="C78" s="14">
        <f>'Critérios de Seleção de Fornece'!C78</f>
        <v>0</v>
      </c>
      <c r="D78" s="14"/>
      <c r="E78" s="14"/>
      <c r="F78" s="14"/>
      <c r="G78" s="14"/>
      <c r="H78" s="14"/>
      <c r="I78" s="52" t="e">
        <f t="shared" si="3"/>
        <v>#DIV/0!</v>
      </c>
      <c r="J78" s="14">
        <f>'Seleção dos Fornecedores'!M78</f>
        <v>0</v>
      </c>
      <c r="K78" s="14"/>
      <c r="L78" s="23" t="e">
        <f t="shared" si="4"/>
        <v>#DIV/0!</v>
      </c>
      <c r="M78" s="23"/>
    </row>
    <row r="79" spans="2:13" x14ac:dyDescent="0.3">
      <c r="B79" s="51">
        <f>'Seleção dos Fornecedores'!B79</f>
        <v>74</v>
      </c>
      <c r="C79" s="14">
        <f>'Critérios de Seleção de Fornece'!C79</f>
        <v>0</v>
      </c>
      <c r="D79" s="14"/>
      <c r="E79" s="14"/>
      <c r="F79" s="14"/>
      <c r="G79" s="14"/>
      <c r="H79" s="14"/>
      <c r="I79" s="52" t="e">
        <f t="shared" si="3"/>
        <v>#DIV/0!</v>
      </c>
      <c r="J79" s="14">
        <f>'Seleção dos Fornecedores'!M79</f>
        <v>0</v>
      </c>
      <c r="K79" s="14"/>
      <c r="L79" s="23" t="e">
        <f t="shared" si="4"/>
        <v>#DIV/0!</v>
      </c>
      <c r="M79" s="23"/>
    </row>
    <row r="80" spans="2:13" x14ac:dyDescent="0.3">
      <c r="B80" s="51">
        <f>'Seleção dos Fornecedores'!B80</f>
        <v>75</v>
      </c>
      <c r="C80" s="14">
        <f>'Critérios de Seleção de Fornece'!C80</f>
        <v>0</v>
      </c>
      <c r="D80" s="14"/>
      <c r="E80" s="14"/>
      <c r="F80" s="14"/>
      <c r="G80" s="14"/>
      <c r="H80" s="14"/>
      <c r="I80" s="52" t="e">
        <f t="shared" si="3"/>
        <v>#DIV/0!</v>
      </c>
      <c r="J80" s="14">
        <f>'Seleção dos Fornecedores'!M80</f>
        <v>0</v>
      </c>
      <c r="K80" s="14"/>
      <c r="L80" s="23" t="e">
        <f t="shared" si="4"/>
        <v>#DIV/0!</v>
      </c>
      <c r="M80" s="23"/>
    </row>
    <row r="81" spans="2:13" x14ac:dyDescent="0.3">
      <c r="B81" s="51">
        <f>'Seleção dos Fornecedores'!B81</f>
        <v>76</v>
      </c>
      <c r="C81" s="14">
        <f>'Critérios de Seleção de Fornece'!C81</f>
        <v>0</v>
      </c>
      <c r="D81" s="14"/>
      <c r="E81" s="14"/>
      <c r="F81" s="14"/>
      <c r="G81" s="14"/>
      <c r="H81" s="14"/>
      <c r="I81" s="52" t="e">
        <f t="shared" si="3"/>
        <v>#DIV/0!</v>
      </c>
      <c r="J81" s="14">
        <f>'Seleção dos Fornecedores'!M81</f>
        <v>0</v>
      </c>
      <c r="K81" s="14"/>
      <c r="L81" s="23" t="e">
        <f t="shared" si="4"/>
        <v>#DIV/0!</v>
      </c>
      <c r="M81" s="23"/>
    </row>
    <row r="82" spans="2:13" x14ac:dyDescent="0.3">
      <c r="B82" s="51">
        <f>'Seleção dos Fornecedores'!B82</f>
        <v>77</v>
      </c>
      <c r="C82" s="14">
        <f>'Critérios de Seleção de Fornece'!C82</f>
        <v>0</v>
      </c>
      <c r="D82" s="14"/>
      <c r="E82" s="14"/>
      <c r="F82" s="14"/>
      <c r="G82" s="14"/>
      <c r="H82" s="14"/>
      <c r="I82" s="52" t="e">
        <f t="shared" si="3"/>
        <v>#DIV/0!</v>
      </c>
      <c r="J82" s="14">
        <f>'Seleção dos Fornecedores'!M82</f>
        <v>0</v>
      </c>
      <c r="K82" s="14"/>
      <c r="L82" s="23" t="e">
        <f t="shared" si="4"/>
        <v>#DIV/0!</v>
      </c>
      <c r="M82" s="23"/>
    </row>
    <row r="83" spans="2:13" x14ac:dyDescent="0.3">
      <c r="B83" s="51">
        <f>'Seleção dos Fornecedores'!B83</f>
        <v>78</v>
      </c>
      <c r="C83" s="14">
        <f>'Critérios de Seleção de Fornece'!C83</f>
        <v>0</v>
      </c>
      <c r="D83" s="14"/>
      <c r="E83" s="14"/>
      <c r="F83" s="14"/>
      <c r="G83" s="14"/>
      <c r="H83" s="14"/>
      <c r="I83" s="52" t="e">
        <f t="shared" si="3"/>
        <v>#DIV/0!</v>
      </c>
      <c r="J83" s="14">
        <f>'Seleção dos Fornecedores'!M83</f>
        <v>0</v>
      </c>
      <c r="K83" s="14"/>
      <c r="L83" s="23" t="e">
        <f t="shared" si="4"/>
        <v>#DIV/0!</v>
      </c>
      <c r="M83" s="23"/>
    </row>
    <row r="84" spans="2:13" x14ac:dyDescent="0.3">
      <c r="B84" s="51">
        <f>'Seleção dos Fornecedores'!B84</f>
        <v>79</v>
      </c>
      <c r="C84" s="14">
        <f>'Critérios de Seleção de Fornece'!C84</f>
        <v>0</v>
      </c>
      <c r="D84" s="14"/>
      <c r="E84" s="14"/>
      <c r="F84" s="14"/>
      <c r="G84" s="14"/>
      <c r="H84" s="14"/>
      <c r="I84" s="52" t="e">
        <f t="shared" si="3"/>
        <v>#DIV/0!</v>
      </c>
      <c r="J84" s="14">
        <f>'Seleção dos Fornecedores'!M84</f>
        <v>0</v>
      </c>
      <c r="K84" s="14"/>
      <c r="L84" s="23" t="e">
        <f t="shared" si="4"/>
        <v>#DIV/0!</v>
      </c>
      <c r="M84" s="23"/>
    </row>
    <row r="85" spans="2:13" x14ac:dyDescent="0.3">
      <c r="B85" s="51">
        <f>'Seleção dos Fornecedores'!B85</f>
        <v>80</v>
      </c>
      <c r="C85" s="14">
        <f>'Critérios de Seleção de Fornece'!C85</f>
        <v>0</v>
      </c>
      <c r="D85" s="14"/>
      <c r="E85" s="14"/>
      <c r="F85" s="14"/>
      <c r="G85" s="14"/>
      <c r="H85" s="14"/>
      <c r="I85" s="52" t="e">
        <f t="shared" si="3"/>
        <v>#DIV/0!</v>
      </c>
      <c r="J85" s="14">
        <f>'Seleção dos Fornecedores'!M85</f>
        <v>0</v>
      </c>
      <c r="K85" s="14"/>
      <c r="L85" s="23" t="e">
        <f t="shared" si="4"/>
        <v>#DIV/0!</v>
      </c>
      <c r="M85" s="23"/>
    </row>
    <row r="86" spans="2:13" x14ac:dyDescent="0.3">
      <c r="B86" s="51">
        <f>'Seleção dos Fornecedores'!B86</f>
        <v>81</v>
      </c>
      <c r="C86" s="14">
        <f>'Critérios de Seleção de Fornece'!C86</f>
        <v>0</v>
      </c>
      <c r="D86" s="14"/>
      <c r="E86" s="14"/>
      <c r="F86" s="14"/>
      <c r="G86" s="14"/>
      <c r="H86" s="14"/>
      <c r="I86" s="52" t="e">
        <f t="shared" si="3"/>
        <v>#DIV/0!</v>
      </c>
      <c r="J86" s="14">
        <f>'Seleção dos Fornecedores'!M86</f>
        <v>0</v>
      </c>
      <c r="K86" s="14"/>
      <c r="L86" s="23" t="e">
        <f t="shared" si="4"/>
        <v>#DIV/0!</v>
      </c>
      <c r="M86" s="23"/>
    </row>
    <row r="87" spans="2:13" x14ac:dyDescent="0.3">
      <c r="B87" s="51">
        <f>'Seleção dos Fornecedores'!B87</f>
        <v>82</v>
      </c>
      <c r="C87" s="14">
        <f>'Critérios de Seleção de Fornece'!C87</f>
        <v>0</v>
      </c>
      <c r="D87" s="14"/>
      <c r="E87" s="14"/>
      <c r="F87" s="14"/>
      <c r="G87" s="14"/>
      <c r="H87" s="14"/>
      <c r="I87" s="52" t="e">
        <f t="shared" si="3"/>
        <v>#DIV/0!</v>
      </c>
      <c r="J87" s="14">
        <f>'Seleção dos Fornecedores'!M87</f>
        <v>0</v>
      </c>
      <c r="K87" s="14"/>
      <c r="L87" s="23" t="e">
        <f t="shared" si="4"/>
        <v>#DIV/0!</v>
      </c>
      <c r="M87" s="23"/>
    </row>
    <row r="88" spans="2:13" x14ac:dyDescent="0.3">
      <c r="B88" s="51">
        <f>'Seleção dos Fornecedores'!B88</f>
        <v>83</v>
      </c>
      <c r="C88" s="14">
        <f>'Critérios de Seleção de Fornece'!C88</f>
        <v>0</v>
      </c>
      <c r="D88" s="14"/>
      <c r="E88" s="14"/>
      <c r="F88" s="14"/>
      <c r="G88" s="14"/>
      <c r="H88" s="14"/>
      <c r="I88" s="52" t="e">
        <f t="shared" si="3"/>
        <v>#DIV/0!</v>
      </c>
      <c r="J88" s="14">
        <f>'Seleção dos Fornecedores'!M88</f>
        <v>0</v>
      </c>
      <c r="K88" s="14"/>
      <c r="L88" s="23" t="e">
        <f t="shared" si="4"/>
        <v>#DIV/0!</v>
      </c>
      <c r="M88" s="23"/>
    </row>
    <row r="89" spans="2:13" x14ac:dyDescent="0.3">
      <c r="B89" s="51">
        <f>'Seleção dos Fornecedores'!B89</f>
        <v>84</v>
      </c>
      <c r="C89" s="14">
        <f>'Critérios de Seleção de Fornece'!C89</f>
        <v>0</v>
      </c>
      <c r="D89" s="14"/>
      <c r="E89" s="14"/>
      <c r="F89" s="14"/>
      <c r="G89" s="14"/>
      <c r="H89" s="14"/>
      <c r="I89" s="52" t="e">
        <f t="shared" si="3"/>
        <v>#DIV/0!</v>
      </c>
      <c r="J89" s="14">
        <f>'Seleção dos Fornecedores'!M89</f>
        <v>0</v>
      </c>
      <c r="K89" s="14"/>
      <c r="L89" s="23" t="e">
        <f t="shared" si="4"/>
        <v>#DIV/0!</v>
      </c>
      <c r="M89" s="23"/>
    </row>
    <row r="90" spans="2:13" x14ac:dyDescent="0.3">
      <c r="B90" s="51">
        <f>'Seleção dos Fornecedores'!B90</f>
        <v>85</v>
      </c>
      <c r="C90" s="14">
        <f>'Critérios de Seleção de Fornece'!C90</f>
        <v>0</v>
      </c>
      <c r="D90" s="14"/>
      <c r="E90" s="14"/>
      <c r="F90" s="14"/>
      <c r="G90" s="14"/>
      <c r="H90" s="14"/>
      <c r="I90" s="52" t="e">
        <f t="shared" ref="I90:I153" si="5">AVERAGE(D90:H90)</f>
        <v>#DIV/0!</v>
      </c>
      <c r="J90" s="14">
        <f>'Seleção dos Fornecedores'!M90</f>
        <v>0</v>
      </c>
      <c r="K90" s="14"/>
      <c r="L90" s="23" t="e">
        <f t="shared" ref="L90:L153" si="6">((5-I90)/4)*0.3 + (J90/4)*0.4 + (K90/4)*0.3</f>
        <v>#DIV/0!</v>
      </c>
      <c r="M90" s="23"/>
    </row>
    <row r="91" spans="2:13" x14ac:dyDescent="0.3">
      <c r="B91" s="51">
        <f>'Seleção dos Fornecedores'!B91</f>
        <v>86</v>
      </c>
      <c r="C91" s="14">
        <f>'Critérios de Seleção de Fornece'!C91</f>
        <v>0</v>
      </c>
      <c r="D91" s="14"/>
      <c r="E91" s="14"/>
      <c r="F91" s="14"/>
      <c r="G91" s="14"/>
      <c r="H91" s="14"/>
      <c r="I91" s="52" t="e">
        <f t="shared" si="5"/>
        <v>#DIV/0!</v>
      </c>
      <c r="J91" s="14">
        <f>'Seleção dos Fornecedores'!M91</f>
        <v>0</v>
      </c>
      <c r="K91" s="14"/>
      <c r="L91" s="23" t="e">
        <f t="shared" si="6"/>
        <v>#DIV/0!</v>
      </c>
      <c r="M91" s="23"/>
    </row>
    <row r="92" spans="2:13" x14ac:dyDescent="0.3">
      <c r="B92" s="51">
        <f>'Seleção dos Fornecedores'!B92</f>
        <v>87</v>
      </c>
      <c r="C92" s="14">
        <f>'Critérios de Seleção de Fornece'!C92</f>
        <v>0</v>
      </c>
      <c r="D92" s="14"/>
      <c r="E92" s="14"/>
      <c r="F92" s="14"/>
      <c r="G92" s="14"/>
      <c r="H92" s="14"/>
      <c r="I92" s="52" t="e">
        <f t="shared" si="5"/>
        <v>#DIV/0!</v>
      </c>
      <c r="J92" s="14">
        <f>'Seleção dos Fornecedores'!M92</f>
        <v>0</v>
      </c>
      <c r="K92" s="14"/>
      <c r="L92" s="23" t="e">
        <f t="shared" si="6"/>
        <v>#DIV/0!</v>
      </c>
      <c r="M92" s="23"/>
    </row>
    <row r="93" spans="2:13" x14ac:dyDescent="0.3">
      <c r="B93" s="51">
        <f>'Seleção dos Fornecedores'!B93</f>
        <v>88</v>
      </c>
      <c r="C93" s="14">
        <f>'Critérios de Seleção de Fornece'!C93</f>
        <v>0</v>
      </c>
      <c r="D93" s="14"/>
      <c r="E93" s="14"/>
      <c r="F93" s="14"/>
      <c r="G93" s="14"/>
      <c r="H93" s="14"/>
      <c r="I93" s="52" t="e">
        <f t="shared" si="5"/>
        <v>#DIV/0!</v>
      </c>
      <c r="J93" s="14">
        <f>'Seleção dos Fornecedores'!M93</f>
        <v>0</v>
      </c>
      <c r="K93" s="14"/>
      <c r="L93" s="23" t="e">
        <f t="shared" si="6"/>
        <v>#DIV/0!</v>
      </c>
      <c r="M93" s="23"/>
    </row>
    <row r="94" spans="2:13" x14ac:dyDescent="0.3">
      <c r="B94" s="51">
        <f>'Seleção dos Fornecedores'!B94</f>
        <v>89</v>
      </c>
      <c r="C94" s="14">
        <f>'Critérios de Seleção de Fornece'!C94</f>
        <v>0</v>
      </c>
      <c r="D94" s="14"/>
      <c r="E94" s="14"/>
      <c r="F94" s="14"/>
      <c r="G94" s="14"/>
      <c r="H94" s="14"/>
      <c r="I94" s="52" t="e">
        <f t="shared" si="5"/>
        <v>#DIV/0!</v>
      </c>
      <c r="J94" s="14">
        <f>'Seleção dos Fornecedores'!M94</f>
        <v>0</v>
      </c>
      <c r="K94" s="14"/>
      <c r="L94" s="23" t="e">
        <f t="shared" si="6"/>
        <v>#DIV/0!</v>
      </c>
      <c r="M94" s="23"/>
    </row>
    <row r="95" spans="2:13" x14ac:dyDescent="0.3">
      <c r="B95" s="51">
        <f>'Seleção dos Fornecedores'!B95</f>
        <v>90</v>
      </c>
      <c r="C95" s="14">
        <f>'Critérios de Seleção de Fornece'!C95</f>
        <v>0</v>
      </c>
      <c r="D95" s="14"/>
      <c r="E95" s="14"/>
      <c r="F95" s="14"/>
      <c r="G95" s="14"/>
      <c r="H95" s="14"/>
      <c r="I95" s="52" t="e">
        <f t="shared" si="5"/>
        <v>#DIV/0!</v>
      </c>
      <c r="J95" s="14">
        <f>'Seleção dos Fornecedores'!M95</f>
        <v>0</v>
      </c>
      <c r="K95" s="14"/>
      <c r="L95" s="23" t="e">
        <f t="shared" si="6"/>
        <v>#DIV/0!</v>
      </c>
      <c r="M95" s="23"/>
    </row>
    <row r="96" spans="2:13" x14ac:dyDescent="0.3">
      <c r="B96" s="51">
        <f>'Seleção dos Fornecedores'!B96</f>
        <v>91</v>
      </c>
      <c r="C96" s="14">
        <f>'Critérios de Seleção de Fornece'!C96</f>
        <v>0</v>
      </c>
      <c r="D96" s="14"/>
      <c r="E96" s="14"/>
      <c r="F96" s="14"/>
      <c r="G96" s="14"/>
      <c r="H96" s="14"/>
      <c r="I96" s="52" t="e">
        <f t="shared" si="5"/>
        <v>#DIV/0!</v>
      </c>
      <c r="J96" s="14">
        <f>'Seleção dos Fornecedores'!M96</f>
        <v>0</v>
      </c>
      <c r="K96" s="14"/>
      <c r="L96" s="23" t="e">
        <f t="shared" si="6"/>
        <v>#DIV/0!</v>
      </c>
      <c r="M96" s="23"/>
    </row>
    <row r="97" spans="2:13" x14ac:dyDescent="0.3">
      <c r="B97" s="51">
        <f>'Seleção dos Fornecedores'!B97</f>
        <v>92</v>
      </c>
      <c r="C97" s="14">
        <f>'Critérios de Seleção de Fornece'!C97</f>
        <v>0</v>
      </c>
      <c r="D97" s="14"/>
      <c r="E97" s="14"/>
      <c r="F97" s="14"/>
      <c r="G97" s="14"/>
      <c r="H97" s="14"/>
      <c r="I97" s="52" t="e">
        <f t="shared" si="5"/>
        <v>#DIV/0!</v>
      </c>
      <c r="J97" s="14">
        <f>'Seleção dos Fornecedores'!M97</f>
        <v>0</v>
      </c>
      <c r="K97" s="14"/>
      <c r="L97" s="23" t="e">
        <f t="shared" si="6"/>
        <v>#DIV/0!</v>
      </c>
      <c r="M97" s="23"/>
    </row>
    <row r="98" spans="2:13" x14ac:dyDescent="0.3">
      <c r="B98" s="51">
        <f>'Seleção dos Fornecedores'!B98</f>
        <v>93</v>
      </c>
      <c r="C98" s="14">
        <f>'Critérios de Seleção de Fornece'!C98</f>
        <v>0</v>
      </c>
      <c r="D98" s="14"/>
      <c r="E98" s="14"/>
      <c r="F98" s="14"/>
      <c r="G98" s="14"/>
      <c r="H98" s="14"/>
      <c r="I98" s="52" t="e">
        <f t="shared" si="5"/>
        <v>#DIV/0!</v>
      </c>
      <c r="J98" s="14">
        <f>'Seleção dos Fornecedores'!M98</f>
        <v>0</v>
      </c>
      <c r="K98" s="14"/>
      <c r="L98" s="23" t="e">
        <f t="shared" si="6"/>
        <v>#DIV/0!</v>
      </c>
      <c r="M98" s="23"/>
    </row>
    <row r="99" spans="2:13" x14ac:dyDescent="0.3">
      <c r="B99" s="51">
        <f>'Seleção dos Fornecedores'!B99</f>
        <v>94</v>
      </c>
      <c r="C99" s="14">
        <f>'Critérios de Seleção de Fornece'!C99</f>
        <v>0</v>
      </c>
      <c r="D99" s="14"/>
      <c r="E99" s="14"/>
      <c r="F99" s="14"/>
      <c r="G99" s="14"/>
      <c r="H99" s="14"/>
      <c r="I99" s="52" t="e">
        <f t="shared" si="5"/>
        <v>#DIV/0!</v>
      </c>
      <c r="J99" s="14">
        <f>'Seleção dos Fornecedores'!M99</f>
        <v>0</v>
      </c>
      <c r="K99" s="14"/>
      <c r="L99" s="23" t="e">
        <f t="shared" si="6"/>
        <v>#DIV/0!</v>
      </c>
      <c r="M99" s="23"/>
    </row>
    <row r="100" spans="2:13" x14ac:dyDescent="0.3">
      <c r="B100" s="51">
        <f>'Seleção dos Fornecedores'!B100</f>
        <v>95</v>
      </c>
      <c r="C100" s="14">
        <f>'Critérios de Seleção de Fornece'!C100</f>
        <v>0</v>
      </c>
      <c r="D100" s="14"/>
      <c r="E100" s="14"/>
      <c r="F100" s="14"/>
      <c r="G100" s="14"/>
      <c r="H100" s="14"/>
      <c r="I100" s="52" t="e">
        <f t="shared" si="5"/>
        <v>#DIV/0!</v>
      </c>
      <c r="J100" s="14">
        <f>'Seleção dos Fornecedores'!M100</f>
        <v>0</v>
      </c>
      <c r="K100" s="14"/>
      <c r="L100" s="23" t="e">
        <f t="shared" si="6"/>
        <v>#DIV/0!</v>
      </c>
      <c r="M100" s="23"/>
    </row>
    <row r="101" spans="2:13" x14ac:dyDescent="0.3">
      <c r="B101" s="51">
        <f>'Seleção dos Fornecedores'!B101</f>
        <v>96</v>
      </c>
      <c r="C101" s="14">
        <f>'Critérios de Seleção de Fornece'!C101</f>
        <v>0</v>
      </c>
      <c r="D101" s="14"/>
      <c r="E101" s="14"/>
      <c r="F101" s="14"/>
      <c r="G101" s="14"/>
      <c r="H101" s="14"/>
      <c r="I101" s="52" t="e">
        <f t="shared" si="5"/>
        <v>#DIV/0!</v>
      </c>
      <c r="J101" s="14">
        <f>'Seleção dos Fornecedores'!M101</f>
        <v>0</v>
      </c>
      <c r="K101" s="14"/>
      <c r="L101" s="23" t="e">
        <f t="shared" si="6"/>
        <v>#DIV/0!</v>
      </c>
      <c r="M101" s="23"/>
    </row>
    <row r="102" spans="2:13" x14ac:dyDescent="0.3">
      <c r="B102" s="51">
        <f>'Seleção dos Fornecedores'!B102</f>
        <v>97</v>
      </c>
      <c r="C102" s="14">
        <f>'Critérios de Seleção de Fornece'!C102</f>
        <v>0</v>
      </c>
      <c r="D102" s="14"/>
      <c r="E102" s="14"/>
      <c r="F102" s="14"/>
      <c r="G102" s="14"/>
      <c r="H102" s="14"/>
      <c r="I102" s="52" t="e">
        <f t="shared" si="5"/>
        <v>#DIV/0!</v>
      </c>
      <c r="J102" s="14">
        <f>'Seleção dos Fornecedores'!M102</f>
        <v>0</v>
      </c>
      <c r="K102" s="14"/>
      <c r="L102" s="23" t="e">
        <f t="shared" si="6"/>
        <v>#DIV/0!</v>
      </c>
      <c r="M102" s="23"/>
    </row>
    <row r="103" spans="2:13" x14ac:dyDescent="0.3">
      <c r="B103" s="51">
        <f>'Seleção dos Fornecedores'!B103</f>
        <v>98</v>
      </c>
      <c r="C103" s="14">
        <f>'Critérios de Seleção de Fornece'!C103</f>
        <v>0</v>
      </c>
      <c r="D103" s="14"/>
      <c r="E103" s="14"/>
      <c r="F103" s="14"/>
      <c r="G103" s="14"/>
      <c r="H103" s="14"/>
      <c r="I103" s="52" t="e">
        <f t="shared" si="5"/>
        <v>#DIV/0!</v>
      </c>
      <c r="J103" s="14">
        <f>'Seleção dos Fornecedores'!M103</f>
        <v>0</v>
      </c>
      <c r="K103" s="14"/>
      <c r="L103" s="23" t="e">
        <f t="shared" si="6"/>
        <v>#DIV/0!</v>
      </c>
      <c r="M103" s="23"/>
    </row>
    <row r="104" spans="2:13" x14ac:dyDescent="0.3">
      <c r="B104" s="51">
        <f>'Seleção dos Fornecedores'!B104</f>
        <v>99</v>
      </c>
      <c r="C104" s="14">
        <f>'Critérios de Seleção de Fornece'!C104</f>
        <v>0</v>
      </c>
      <c r="D104" s="14"/>
      <c r="E104" s="14"/>
      <c r="F104" s="14"/>
      <c r="G104" s="14"/>
      <c r="H104" s="14"/>
      <c r="I104" s="52" t="e">
        <f t="shared" si="5"/>
        <v>#DIV/0!</v>
      </c>
      <c r="J104" s="14">
        <f>'Seleção dos Fornecedores'!M104</f>
        <v>0</v>
      </c>
      <c r="K104" s="14"/>
      <c r="L104" s="23" t="e">
        <f t="shared" si="6"/>
        <v>#DIV/0!</v>
      </c>
      <c r="M104" s="23"/>
    </row>
    <row r="105" spans="2:13" x14ac:dyDescent="0.3">
      <c r="B105" s="51">
        <f>'Seleção dos Fornecedores'!B105</f>
        <v>100</v>
      </c>
      <c r="C105" s="14">
        <f>'Critérios de Seleção de Fornece'!C105</f>
        <v>0</v>
      </c>
      <c r="D105" s="14"/>
      <c r="E105" s="14"/>
      <c r="F105" s="14"/>
      <c r="G105" s="14"/>
      <c r="H105" s="14"/>
      <c r="I105" s="52" t="e">
        <f t="shared" si="5"/>
        <v>#DIV/0!</v>
      </c>
      <c r="J105" s="14">
        <f>'Seleção dos Fornecedores'!M105</f>
        <v>0</v>
      </c>
      <c r="K105" s="14"/>
      <c r="L105" s="23" t="e">
        <f t="shared" si="6"/>
        <v>#DIV/0!</v>
      </c>
      <c r="M105" s="23"/>
    </row>
    <row r="106" spans="2:13" x14ac:dyDescent="0.3">
      <c r="B106" s="51">
        <f>'Seleção dos Fornecedores'!B106</f>
        <v>101</v>
      </c>
      <c r="C106" s="14">
        <f>'Critérios de Seleção de Fornece'!C106</f>
        <v>0</v>
      </c>
      <c r="D106" s="14"/>
      <c r="E106" s="14"/>
      <c r="F106" s="14"/>
      <c r="G106" s="14"/>
      <c r="H106" s="14"/>
      <c r="I106" s="52" t="e">
        <f t="shared" si="5"/>
        <v>#DIV/0!</v>
      </c>
      <c r="J106" s="14">
        <f>'Seleção dos Fornecedores'!M106</f>
        <v>0</v>
      </c>
      <c r="K106" s="14"/>
      <c r="L106" s="23" t="e">
        <f t="shared" si="6"/>
        <v>#DIV/0!</v>
      </c>
      <c r="M106" s="23"/>
    </row>
    <row r="107" spans="2:13" x14ac:dyDescent="0.3">
      <c r="B107" s="51">
        <f>'Seleção dos Fornecedores'!B107</f>
        <v>102</v>
      </c>
      <c r="C107" s="14">
        <f>'Critérios de Seleção de Fornece'!C107</f>
        <v>0</v>
      </c>
      <c r="D107" s="14"/>
      <c r="E107" s="14"/>
      <c r="F107" s="14"/>
      <c r="G107" s="14"/>
      <c r="H107" s="14"/>
      <c r="I107" s="52" t="e">
        <f t="shared" si="5"/>
        <v>#DIV/0!</v>
      </c>
      <c r="J107" s="14">
        <f>'Seleção dos Fornecedores'!M107</f>
        <v>0</v>
      </c>
      <c r="K107" s="14"/>
      <c r="L107" s="23" t="e">
        <f t="shared" si="6"/>
        <v>#DIV/0!</v>
      </c>
      <c r="M107" s="23"/>
    </row>
    <row r="108" spans="2:13" x14ac:dyDescent="0.3">
      <c r="B108" s="51">
        <f>'Seleção dos Fornecedores'!B108</f>
        <v>103</v>
      </c>
      <c r="C108" s="14">
        <f>'Critérios de Seleção de Fornece'!C108</f>
        <v>0</v>
      </c>
      <c r="D108" s="14"/>
      <c r="E108" s="14"/>
      <c r="F108" s="14"/>
      <c r="G108" s="14"/>
      <c r="H108" s="14"/>
      <c r="I108" s="52" t="e">
        <f t="shared" si="5"/>
        <v>#DIV/0!</v>
      </c>
      <c r="J108" s="14">
        <f>'Seleção dos Fornecedores'!M108</f>
        <v>0</v>
      </c>
      <c r="K108" s="14"/>
      <c r="L108" s="23" t="e">
        <f t="shared" si="6"/>
        <v>#DIV/0!</v>
      </c>
      <c r="M108" s="23"/>
    </row>
    <row r="109" spans="2:13" x14ac:dyDescent="0.3">
      <c r="B109" s="51">
        <f>'Seleção dos Fornecedores'!B109</f>
        <v>104</v>
      </c>
      <c r="C109" s="14">
        <f>'Critérios de Seleção de Fornece'!C109</f>
        <v>0</v>
      </c>
      <c r="D109" s="14"/>
      <c r="E109" s="14"/>
      <c r="F109" s="14"/>
      <c r="G109" s="14"/>
      <c r="H109" s="14"/>
      <c r="I109" s="52" t="e">
        <f t="shared" si="5"/>
        <v>#DIV/0!</v>
      </c>
      <c r="J109" s="14">
        <f>'Seleção dos Fornecedores'!M109</f>
        <v>0</v>
      </c>
      <c r="K109" s="14"/>
      <c r="L109" s="23" t="e">
        <f t="shared" si="6"/>
        <v>#DIV/0!</v>
      </c>
      <c r="M109" s="23"/>
    </row>
    <row r="110" spans="2:13" x14ac:dyDescent="0.3">
      <c r="B110" s="51">
        <f>'Seleção dos Fornecedores'!B110</f>
        <v>105</v>
      </c>
      <c r="C110" s="14">
        <f>'Critérios de Seleção de Fornece'!C110</f>
        <v>0</v>
      </c>
      <c r="D110" s="14"/>
      <c r="E110" s="14"/>
      <c r="F110" s="14"/>
      <c r="G110" s="14"/>
      <c r="H110" s="14"/>
      <c r="I110" s="52" t="e">
        <f t="shared" si="5"/>
        <v>#DIV/0!</v>
      </c>
      <c r="J110" s="14">
        <f>'Seleção dos Fornecedores'!M110</f>
        <v>0</v>
      </c>
      <c r="K110" s="14"/>
      <c r="L110" s="23" t="e">
        <f t="shared" si="6"/>
        <v>#DIV/0!</v>
      </c>
      <c r="M110" s="23"/>
    </row>
    <row r="111" spans="2:13" x14ac:dyDescent="0.3">
      <c r="B111" s="51">
        <f>'Seleção dos Fornecedores'!B111</f>
        <v>106</v>
      </c>
      <c r="C111" s="14">
        <f>'Critérios de Seleção de Fornece'!C111</f>
        <v>0</v>
      </c>
      <c r="D111" s="14"/>
      <c r="E111" s="14"/>
      <c r="F111" s="14"/>
      <c r="G111" s="14"/>
      <c r="H111" s="14"/>
      <c r="I111" s="52" t="e">
        <f t="shared" si="5"/>
        <v>#DIV/0!</v>
      </c>
      <c r="J111" s="14">
        <f>'Seleção dos Fornecedores'!M111</f>
        <v>0</v>
      </c>
      <c r="K111" s="14"/>
      <c r="L111" s="23" t="e">
        <f t="shared" si="6"/>
        <v>#DIV/0!</v>
      </c>
      <c r="M111" s="23"/>
    </row>
    <row r="112" spans="2:13" x14ac:dyDescent="0.3">
      <c r="B112" s="51">
        <f>'Seleção dos Fornecedores'!B112</f>
        <v>107</v>
      </c>
      <c r="C112" s="14">
        <f>'Critérios de Seleção de Fornece'!C112</f>
        <v>0</v>
      </c>
      <c r="D112" s="14"/>
      <c r="E112" s="14"/>
      <c r="F112" s="14"/>
      <c r="G112" s="14"/>
      <c r="H112" s="14"/>
      <c r="I112" s="52" t="e">
        <f t="shared" si="5"/>
        <v>#DIV/0!</v>
      </c>
      <c r="J112" s="14">
        <f>'Seleção dos Fornecedores'!M112</f>
        <v>0</v>
      </c>
      <c r="K112" s="14"/>
      <c r="L112" s="23" t="e">
        <f t="shared" si="6"/>
        <v>#DIV/0!</v>
      </c>
      <c r="M112" s="23"/>
    </row>
    <row r="113" spans="2:13" x14ac:dyDescent="0.3">
      <c r="B113" s="51">
        <f>'Seleção dos Fornecedores'!B113</f>
        <v>108</v>
      </c>
      <c r="C113" s="14">
        <f>'Critérios de Seleção de Fornece'!C113</f>
        <v>0</v>
      </c>
      <c r="D113" s="14"/>
      <c r="E113" s="14"/>
      <c r="F113" s="14"/>
      <c r="G113" s="14"/>
      <c r="H113" s="14"/>
      <c r="I113" s="52" t="e">
        <f t="shared" si="5"/>
        <v>#DIV/0!</v>
      </c>
      <c r="J113" s="14">
        <f>'Seleção dos Fornecedores'!M113</f>
        <v>0</v>
      </c>
      <c r="K113" s="14"/>
      <c r="L113" s="23" t="e">
        <f t="shared" si="6"/>
        <v>#DIV/0!</v>
      </c>
      <c r="M113" s="23"/>
    </row>
    <row r="114" spans="2:13" x14ac:dyDescent="0.3">
      <c r="B114" s="51">
        <f>'Seleção dos Fornecedores'!B114</f>
        <v>109</v>
      </c>
      <c r="C114" s="14">
        <f>'Critérios de Seleção de Fornece'!C114</f>
        <v>0</v>
      </c>
      <c r="D114" s="14"/>
      <c r="E114" s="14"/>
      <c r="F114" s="14"/>
      <c r="G114" s="14"/>
      <c r="H114" s="14"/>
      <c r="I114" s="52" t="e">
        <f t="shared" si="5"/>
        <v>#DIV/0!</v>
      </c>
      <c r="J114" s="14">
        <f>'Seleção dos Fornecedores'!M114</f>
        <v>0</v>
      </c>
      <c r="K114" s="14"/>
      <c r="L114" s="23" t="e">
        <f t="shared" si="6"/>
        <v>#DIV/0!</v>
      </c>
      <c r="M114" s="23"/>
    </row>
    <row r="115" spans="2:13" x14ac:dyDescent="0.3">
      <c r="B115" s="51">
        <f>'Seleção dos Fornecedores'!B115</f>
        <v>110</v>
      </c>
      <c r="C115" s="14">
        <f>'Critérios de Seleção de Fornece'!C115</f>
        <v>0</v>
      </c>
      <c r="D115" s="14"/>
      <c r="E115" s="14"/>
      <c r="F115" s="14"/>
      <c r="G115" s="14"/>
      <c r="H115" s="14"/>
      <c r="I115" s="52" t="e">
        <f t="shared" si="5"/>
        <v>#DIV/0!</v>
      </c>
      <c r="J115" s="14">
        <f>'Seleção dos Fornecedores'!M115</f>
        <v>0</v>
      </c>
      <c r="K115" s="14"/>
      <c r="L115" s="23" t="e">
        <f t="shared" si="6"/>
        <v>#DIV/0!</v>
      </c>
      <c r="M115" s="23"/>
    </row>
    <row r="116" spans="2:13" x14ac:dyDescent="0.3">
      <c r="B116" s="51">
        <f>'Seleção dos Fornecedores'!B116</f>
        <v>111</v>
      </c>
      <c r="C116" s="14">
        <f>'Critérios de Seleção de Fornece'!C116</f>
        <v>0</v>
      </c>
      <c r="D116" s="14"/>
      <c r="E116" s="14"/>
      <c r="F116" s="14"/>
      <c r="G116" s="14"/>
      <c r="H116" s="14"/>
      <c r="I116" s="52" t="e">
        <f t="shared" si="5"/>
        <v>#DIV/0!</v>
      </c>
      <c r="J116" s="14">
        <f>'Seleção dos Fornecedores'!M116</f>
        <v>0</v>
      </c>
      <c r="K116" s="14"/>
      <c r="L116" s="23" t="e">
        <f t="shared" si="6"/>
        <v>#DIV/0!</v>
      </c>
      <c r="M116" s="23"/>
    </row>
    <row r="117" spans="2:13" x14ac:dyDescent="0.3">
      <c r="B117" s="51">
        <f>'Seleção dos Fornecedores'!B117</f>
        <v>112</v>
      </c>
      <c r="C117" s="14">
        <f>'Critérios de Seleção de Fornece'!C117</f>
        <v>0</v>
      </c>
      <c r="D117" s="14"/>
      <c r="E117" s="14"/>
      <c r="F117" s="14"/>
      <c r="G117" s="14"/>
      <c r="H117" s="14"/>
      <c r="I117" s="52" t="e">
        <f t="shared" si="5"/>
        <v>#DIV/0!</v>
      </c>
      <c r="J117" s="14">
        <f>'Seleção dos Fornecedores'!M117</f>
        <v>0</v>
      </c>
      <c r="K117" s="14"/>
      <c r="L117" s="23" t="e">
        <f t="shared" si="6"/>
        <v>#DIV/0!</v>
      </c>
      <c r="M117" s="23"/>
    </row>
    <row r="118" spans="2:13" x14ac:dyDescent="0.3">
      <c r="B118" s="51">
        <f>'Seleção dos Fornecedores'!B118</f>
        <v>113</v>
      </c>
      <c r="C118" s="14">
        <f>'Critérios de Seleção de Fornece'!C118</f>
        <v>0</v>
      </c>
      <c r="D118" s="14"/>
      <c r="E118" s="14"/>
      <c r="F118" s="14"/>
      <c r="G118" s="14"/>
      <c r="H118" s="14"/>
      <c r="I118" s="52" t="e">
        <f t="shared" si="5"/>
        <v>#DIV/0!</v>
      </c>
      <c r="J118" s="14">
        <f>'Seleção dos Fornecedores'!M118</f>
        <v>0</v>
      </c>
      <c r="K118" s="14"/>
      <c r="L118" s="23" t="e">
        <f t="shared" si="6"/>
        <v>#DIV/0!</v>
      </c>
      <c r="M118" s="23"/>
    </row>
    <row r="119" spans="2:13" x14ac:dyDescent="0.3">
      <c r="B119" s="51">
        <f>'Seleção dos Fornecedores'!B119</f>
        <v>114</v>
      </c>
      <c r="C119" s="14">
        <f>'Critérios de Seleção de Fornece'!C119</f>
        <v>0</v>
      </c>
      <c r="D119" s="14"/>
      <c r="E119" s="14"/>
      <c r="F119" s="14"/>
      <c r="G119" s="14"/>
      <c r="H119" s="14"/>
      <c r="I119" s="52" t="e">
        <f t="shared" si="5"/>
        <v>#DIV/0!</v>
      </c>
      <c r="J119" s="14">
        <f>'Seleção dos Fornecedores'!M119</f>
        <v>0</v>
      </c>
      <c r="K119" s="14"/>
      <c r="L119" s="23" t="e">
        <f t="shared" si="6"/>
        <v>#DIV/0!</v>
      </c>
      <c r="M119" s="23"/>
    </row>
    <row r="120" spans="2:13" x14ac:dyDescent="0.3">
      <c r="B120" s="51">
        <f>'Seleção dos Fornecedores'!B120</f>
        <v>115</v>
      </c>
      <c r="C120" s="14">
        <f>'Critérios de Seleção de Fornece'!C120</f>
        <v>0</v>
      </c>
      <c r="D120" s="14"/>
      <c r="E120" s="14"/>
      <c r="F120" s="14"/>
      <c r="G120" s="14"/>
      <c r="H120" s="14"/>
      <c r="I120" s="52" t="e">
        <f t="shared" si="5"/>
        <v>#DIV/0!</v>
      </c>
      <c r="J120" s="14">
        <f>'Seleção dos Fornecedores'!M120</f>
        <v>0</v>
      </c>
      <c r="K120" s="14"/>
      <c r="L120" s="23" t="e">
        <f t="shared" si="6"/>
        <v>#DIV/0!</v>
      </c>
      <c r="M120" s="23"/>
    </row>
    <row r="121" spans="2:13" x14ac:dyDescent="0.3">
      <c r="B121" s="51">
        <f>'Seleção dos Fornecedores'!B121</f>
        <v>116</v>
      </c>
      <c r="C121" s="14">
        <f>'Critérios de Seleção de Fornece'!C121</f>
        <v>0</v>
      </c>
      <c r="D121" s="14"/>
      <c r="E121" s="14"/>
      <c r="F121" s="14"/>
      <c r="G121" s="14"/>
      <c r="H121" s="14"/>
      <c r="I121" s="52" t="e">
        <f t="shared" si="5"/>
        <v>#DIV/0!</v>
      </c>
      <c r="J121" s="14">
        <f>'Seleção dos Fornecedores'!M121</f>
        <v>0</v>
      </c>
      <c r="K121" s="14"/>
      <c r="L121" s="23" t="e">
        <f t="shared" si="6"/>
        <v>#DIV/0!</v>
      </c>
      <c r="M121" s="23"/>
    </row>
    <row r="122" spans="2:13" x14ac:dyDescent="0.3">
      <c r="B122" s="51">
        <f>'Seleção dos Fornecedores'!B122</f>
        <v>117</v>
      </c>
      <c r="C122" s="14">
        <f>'Critérios de Seleção de Fornece'!C122</f>
        <v>0</v>
      </c>
      <c r="D122" s="14"/>
      <c r="E122" s="14"/>
      <c r="F122" s="14"/>
      <c r="G122" s="14"/>
      <c r="H122" s="14"/>
      <c r="I122" s="52" t="e">
        <f t="shared" si="5"/>
        <v>#DIV/0!</v>
      </c>
      <c r="J122" s="14">
        <f>'Seleção dos Fornecedores'!M122</f>
        <v>0</v>
      </c>
      <c r="K122" s="14"/>
      <c r="L122" s="23" t="e">
        <f t="shared" si="6"/>
        <v>#DIV/0!</v>
      </c>
      <c r="M122" s="23"/>
    </row>
    <row r="123" spans="2:13" x14ac:dyDescent="0.3">
      <c r="B123" s="51">
        <f>'Seleção dos Fornecedores'!B123</f>
        <v>118</v>
      </c>
      <c r="C123" s="14">
        <f>'Critérios de Seleção de Fornece'!C123</f>
        <v>0</v>
      </c>
      <c r="D123" s="14"/>
      <c r="E123" s="14"/>
      <c r="F123" s="14"/>
      <c r="G123" s="14"/>
      <c r="H123" s="14"/>
      <c r="I123" s="52" t="e">
        <f t="shared" si="5"/>
        <v>#DIV/0!</v>
      </c>
      <c r="J123" s="14">
        <f>'Seleção dos Fornecedores'!M123</f>
        <v>0</v>
      </c>
      <c r="K123" s="14"/>
      <c r="L123" s="23" t="e">
        <f t="shared" si="6"/>
        <v>#DIV/0!</v>
      </c>
      <c r="M123" s="23"/>
    </row>
    <row r="124" spans="2:13" x14ac:dyDescent="0.3">
      <c r="B124" s="51">
        <f>'Seleção dos Fornecedores'!B124</f>
        <v>119</v>
      </c>
      <c r="C124" s="14">
        <f>'Critérios de Seleção de Fornece'!C124</f>
        <v>0</v>
      </c>
      <c r="D124" s="14"/>
      <c r="E124" s="14"/>
      <c r="F124" s="14"/>
      <c r="G124" s="14"/>
      <c r="H124" s="14"/>
      <c r="I124" s="52" t="e">
        <f t="shared" si="5"/>
        <v>#DIV/0!</v>
      </c>
      <c r="J124" s="14">
        <f>'Seleção dos Fornecedores'!M124</f>
        <v>0</v>
      </c>
      <c r="K124" s="14"/>
      <c r="L124" s="23" t="e">
        <f t="shared" si="6"/>
        <v>#DIV/0!</v>
      </c>
      <c r="M124" s="23"/>
    </row>
    <row r="125" spans="2:13" x14ac:dyDescent="0.3">
      <c r="B125" s="51">
        <f>'Seleção dos Fornecedores'!B125</f>
        <v>120</v>
      </c>
      <c r="C125" s="14">
        <f>'Critérios de Seleção de Fornece'!C125</f>
        <v>0</v>
      </c>
      <c r="D125" s="14"/>
      <c r="E125" s="14"/>
      <c r="F125" s="14"/>
      <c r="G125" s="14"/>
      <c r="H125" s="14"/>
      <c r="I125" s="52" t="e">
        <f t="shared" si="5"/>
        <v>#DIV/0!</v>
      </c>
      <c r="J125" s="14">
        <f>'Seleção dos Fornecedores'!M125</f>
        <v>0</v>
      </c>
      <c r="K125" s="14"/>
      <c r="L125" s="23" t="e">
        <f t="shared" si="6"/>
        <v>#DIV/0!</v>
      </c>
      <c r="M125" s="23"/>
    </row>
    <row r="126" spans="2:13" x14ac:dyDescent="0.3">
      <c r="B126" s="51">
        <f>'Seleção dos Fornecedores'!B126</f>
        <v>121</v>
      </c>
      <c r="C126" s="14">
        <f>'Critérios de Seleção de Fornece'!C126</f>
        <v>0</v>
      </c>
      <c r="D126" s="14"/>
      <c r="E126" s="14"/>
      <c r="F126" s="14"/>
      <c r="G126" s="14"/>
      <c r="H126" s="14"/>
      <c r="I126" s="52" t="e">
        <f t="shared" si="5"/>
        <v>#DIV/0!</v>
      </c>
      <c r="J126" s="14">
        <f>'Seleção dos Fornecedores'!M126</f>
        <v>0</v>
      </c>
      <c r="K126" s="14"/>
      <c r="L126" s="23" t="e">
        <f t="shared" si="6"/>
        <v>#DIV/0!</v>
      </c>
      <c r="M126" s="23"/>
    </row>
    <row r="127" spans="2:13" x14ac:dyDescent="0.3">
      <c r="B127" s="51">
        <f>'Seleção dos Fornecedores'!B127</f>
        <v>122</v>
      </c>
      <c r="C127" s="14">
        <f>'Critérios de Seleção de Fornece'!C127</f>
        <v>0</v>
      </c>
      <c r="D127" s="14"/>
      <c r="E127" s="14"/>
      <c r="F127" s="14"/>
      <c r="G127" s="14"/>
      <c r="H127" s="14"/>
      <c r="I127" s="52" t="e">
        <f t="shared" si="5"/>
        <v>#DIV/0!</v>
      </c>
      <c r="J127" s="14">
        <f>'Seleção dos Fornecedores'!M127</f>
        <v>0</v>
      </c>
      <c r="K127" s="14"/>
      <c r="L127" s="23" t="e">
        <f t="shared" si="6"/>
        <v>#DIV/0!</v>
      </c>
      <c r="M127" s="23"/>
    </row>
    <row r="128" spans="2:13" x14ac:dyDescent="0.3">
      <c r="B128" s="51">
        <f>'Seleção dos Fornecedores'!B128</f>
        <v>123</v>
      </c>
      <c r="C128" s="14">
        <f>'Critérios de Seleção de Fornece'!C128</f>
        <v>0</v>
      </c>
      <c r="D128" s="14"/>
      <c r="E128" s="14"/>
      <c r="F128" s="14"/>
      <c r="G128" s="14"/>
      <c r="H128" s="14"/>
      <c r="I128" s="52" t="e">
        <f t="shared" si="5"/>
        <v>#DIV/0!</v>
      </c>
      <c r="J128" s="14">
        <f>'Seleção dos Fornecedores'!M128</f>
        <v>0</v>
      </c>
      <c r="K128" s="14"/>
      <c r="L128" s="23" t="e">
        <f t="shared" si="6"/>
        <v>#DIV/0!</v>
      </c>
      <c r="M128" s="23"/>
    </row>
    <row r="129" spans="2:13" x14ac:dyDescent="0.3">
      <c r="B129" s="51">
        <f>'Seleção dos Fornecedores'!B129</f>
        <v>124</v>
      </c>
      <c r="C129" s="14">
        <f>'Critérios de Seleção de Fornece'!C129</f>
        <v>0</v>
      </c>
      <c r="D129" s="14"/>
      <c r="E129" s="14"/>
      <c r="F129" s="14"/>
      <c r="G129" s="14"/>
      <c r="H129" s="14"/>
      <c r="I129" s="52" t="e">
        <f t="shared" si="5"/>
        <v>#DIV/0!</v>
      </c>
      <c r="J129" s="14">
        <f>'Seleção dos Fornecedores'!M129</f>
        <v>0</v>
      </c>
      <c r="K129" s="14"/>
      <c r="L129" s="23" t="e">
        <f t="shared" si="6"/>
        <v>#DIV/0!</v>
      </c>
      <c r="M129" s="23"/>
    </row>
    <row r="130" spans="2:13" x14ac:dyDescent="0.3">
      <c r="B130" s="51">
        <f>'Seleção dos Fornecedores'!B130</f>
        <v>125</v>
      </c>
      <c r="C130" s="14">
        <f>'Critérios de Seleção de Fornece'!C130</f>
        <v>0</v>
      </c>
      <c r="D130" s="14"/>
      <c r="E130" s="14"/>
      <c r="F130" s="14"/>
      <c r="G130" s="14"/>
      <c r="H130" s="14"/>
      <c r="I130" s="52" t="e">
        <f t="shared" si="5"/>
        <v>#DIV/0!</v>
      </c>
      <c r="J130" s="14">
        <f>'Seleção dos Fornecedores'!M130</f>
        <v>0</v>
      </c>
      <c r="K130" s="14"/>
      <c r="L130" s="23" t="e">
        <f t="shared" si="6"/>
        <v>#DIV/0!</v>
      </c>
      <c r="M130" s="23"/>
    </row>
    <row r="131" spans="2:13" x14ac:dyDescent="0.3">
      <c r="B131" s="51">
        <f>'Seleção dos Fornecedores'!B131</f>
        <v>126</v>
      </c>
      <c r="C131" s="14">
        <f>'Critérios de Seleção de Fornece'!C131</f>
        <v>0</v>
      </c>
      <c r="D131" s="14"/>
      <c r="E131" s="14"/>
      <c r="F131" s="14"/>
      <c r="G131" s="14"/>
      <c r="H131" s="14"/>
      <c r="I131" s="52" t="e">
        <f t="shared" si="5"/>
        <v>#DIV/0!</v>
      </c>
      <c r="J131" s="14">
        <f>'Seleção dos Fornecedores'!M131</f>
        <v>0</v>
      </c>
      <c r="K131" s="14"/>
      <c r="L131" s="23" t="e">
        <f t="shared" si="6"/>
        <v>#DIV/0!</v>
      </c>
      <c r="M131" s="23"/>
    </row>
    <row r="132" spans="2:13" x14ac:dyDescent="0.3">
      <c r="B132" s="51">
        <f>'Seleção dos Fornecedores'!B132</f>
        <v>127</v>
      </c>
      <c r="C132" s="14">
        <f>'Critérios de Seleção de Fornece'!C132</f>
        <v>0</v>
      </c>
      <c r="D132" s="14"/>
      <c r="E132" s="14"/>
      <c r="F132" s="14"/>
      <c r="G132" s="14"/>
      <c r="H132" s="14"/>
      <c r="I132" s="52" t="e">
        <f t="shared" si="5"/>
        <v>#DIV/0!</v>
      </c>
      <c r="J132" s="14">
        <f>'Seleção dos Fornecedores'!M132</f>
        <v>0</v>
      </c>
      <c r="K132" s="14"/>
      <c r="L132" s="23" t="e">
        <f t="shared" si="6"/>
        <v>#DIV/0!</v>
      </c>
      <c r="M132" s="23"/>
    </row>
    <row r="133" spans="2:13" x14ac:dyDescent="0.3">
      <c r="B133" s="51">
        <f>'Seleção dos Fornecedores'!B133</f>
        <v>128</v>
      </c>
      <c r="C133" s="14">
        <f>'Critérios de Seleção de Fornece'!C133</f>
        <v>0</v>
      </c>
      <c r="D133" s="14"/>
      <c r="E133" s="14"/>
      <c r="F133" s="14"/>
      <c r="G133" s="14"/>
      <c r="H133" s="14"/>
      <c r="I133" s="52" t="e">
        <f t="shared" si="5"/>
        <v>#DIV/0!</v>
      </c>
      <c r="J133" s="14">
        <f>'Seleção dos Fornecedores'!M133</f>
        <v>0</v>
      </c>
      <c r="K133" s="14"/>
      <c r="L133" s="23" t="e">
        <f t="shared" si="6"/>
        <v>#DIV/0!</v>
      </c>
      <c r="M133" s="23"/>
    </row>
    <row r="134" spans="2:13" x14ac:dyDescent="0.3">
      <c r="B134" s="51">
        <f>'Seleção dos Fornecedores'!B134</f>
        <v>129</v>
      </c>
      <c r="C134" s="14">
        <f>'Critérios de Seleção de Fornece'!C134</f>
        <v>0</v>
      </c>
      <c r="D134" s="14"/>
      <c r="E134" s="14"/>
      <c r="F134" s="14"/>
      <c r="G134" s="14"/>
      <c r="H134" s="14"/>
      <c r="I134" s="52" t="e">
        <f t="shared" si="5"/>
        <v>#DIV/0!</v>
      </c>
      <c r="J134" s="14">
        <f>'Seleção dos Fornecedores'!M134</f>
        <v>0</v>
      </c>
      <c r="K134" s="14"/>
      <c r="L134" s="23" t="e">
        <f t="shared" si="6"/>
        <v>#DIV/0!</v>
      </c>
      <c r="M134" s="23"/>
    </row>
    <row r="135" spans="2:13" x14ac:dyDescent="0.3">
      <c r="B135" s="51">
        <f>'Seleção dos Fornecedores'!B135</f>
        <v>130</v>
      </c>
      <c r="C135" s="14">
        <f>'Critérios de Seleção de Fornece'!C135</f>
        <v>0</v>
      </c>
      <c r="D135" s="14"/>
      <c r="E135" s="14"/>
      <c r="F135" s="14"/>
      <c r="G135" s="14"/>
      <c r="H135" s="14"/>
      <c r="I135" s="52" t="e">
        <f t="shared" si="5"/>
        <v>#DIV/0!</v>
      </c>
      <c r="J135" s="14">
        <f>'Seleção dos Fornecedores'!M135</f>
        <v>0</v>
      </c>
      <c r="K135" s="14"/>
      <c r="L135" s="23" t="e">
        <f t="shared" si="6"/>
        <v>#DIV/0!</v>
      </c>
      <c r="M135" s="23"/>
    </row>
    <row r="136" spans="2:13" x14ac:dyDescent="0.3">
      <c r="B136" s="51">
        <f>'Seleção dos Fornecedores'!B136</f>
        <v>131</v>
      </c>
      <c r="C136" s="14">
        <f>'Critérios de Seleção de Fornece'!C136</f>
        <v>0</v>
      </c>
      <c r="D136" s="14"/>
      <c r="E136" s="14"/>
      <c r="F136" s="14"/>
      <c r="G136" s="14"/>
      <c r="H136" s="14"/>
      <c r="I136" s="52" t="e">
        <f t="shared" si="5"/>
        <v>#DIV/0!</v>
      </c>
      <c r="J136" s="14">
        <f>'Seleção dos Fornecedores'!M136</f>
        <v>0</v>
      </c>
      <c r="K136" s="14"/>
      <c r="L136" s="23" t="e">
        <f t="shared" si="6"/>
        <v>#DIV/0!</v>
      </c>
      <c r="M136" s="23"/>
    </row>
    <row r="137" spans="2:13" x14ac:dyDescent="0.3">
      <c r="B137" s="51">
        <f>'Seleção dos Fornecedores'!B137</f>
        <v>132</v>
      </c>
      <c r="C137" s="14">
        <f>'Critérios de Seleção de Fornece'!C137</f>
        <v>0</v>
      </c>
      <c r="D137" s="14"/>
      <c r="E137" s="14"/>
      <c r="F137" s="14"/>
      <c r="G137" s="14"/>
      <c r="H137" s="14"/>
      <c r="I137" s="52" t="e">
        <f t="shared" si="5"/>
        <v>#DIV/0!</v>
      </c>
      <c r="J137" s="14">
        <f>'Seleção dos Fornecedores'!M137</f>
        <v>0</v>
      </c>
      <c r="K137" s="14"/>
      <c r="L137" s="23" t="e">
        <f t="shared" si="6"/>
        <v>#DIV/0!</v>
      </c>
      <c r="M137" s="23"/>
    </row>
    <row r="138" spans="2:13" x14ac:dyDescent="0.3">
      <c r="B138" s="51">
        <f>'Seleção dos Fornecedores'!B138</f>
        <v>133</v>
      </c>
      <c r="C138" s="14">
        <f>'Critérios de Seleção de Fornece'!C138</f>
        <v>0</v>
      </c>
      <c r="D138" s="14"/>
      <c r="E138" s="14"/>
      <c r="F138" s="14"/>
      <c r="G138" s="14"/>
      <c r="H138" s="14"/>
      <c r="I138" s="52" t="e">
        <f t="shared" si="5"/>
        <v>#DIV/0!</v>
      </c>
      <c r="J138" s="14">
        <f>'Seleção dos Fornecedores'!M138</f>
        <v>0</v>
      </c>
      <c r="K138" s="14"/>
      <c r="L138" s="23" t="e">
        <f t="shared" si="6"/>
        <v>#DIV/0!</v>
      </c>
      <c r="M138" s="23"/>
    </row>
    <row r="139" spans="2:13" x14ac:dyDescent="0.3">
      <c r="B139" s="51">
        <f>'Seleção dos Fornecedores'!B139</f>
        <v>134</v>
      </c>
      <c r="C139" s="14">
        <f>'Critérios de Seleção de Fornece'!C139</f>
        <v>0</v>
      </c>
      <c r="D139" s="14"/>
      <c r="E139" s="14"/>
      <c r="F139" s="14"/>
      <c r="G139" s="14"/>
      <c r="H139" s="14"/>
      <c r="I139" s="52" t="e">
        <f t="shared" si="5"/>
        <v>#DIV/0!</v>
      </c>
      <c r="J139" s="14">
        <f>'Seleção dos Fornecedores'!M139</f>
        <v>0</v>
      </c>
      <c r="K139" s="14"/>
      <c r="L139" s="23" t="e">
        <f t="shared" si="6"/>
        <v>#DIV/0!</v>
      </c>
      <c r="M139" s="23"/>
    </row>
    <row r="140" spans="2:13" x14ac:dyDescent="0.3">
      <c r="B140" s="51">
        <f>'Seleção dos Fornecedores'!B140</f>
        <v>135</v>
      </c>
      <c r="C140" s="14">
        <f>'Critérios de Seleção de Fornece'!C140</f>
        <v>0</v>
      </c>
      <c r="D140" s="14"/>
      <c r="E140" s="14"/>
      <c r="F140" s="14"/>
      <c r="G140" s="14"/>
      <c r="H140" s="14"/>
      <c r="I140" s="52" t="e">
        <f t="shared" si="5"/>
        <v>#DIV/0!</v>
      </c>
      <c r="J140" s="14">
        <f>'Seleção dos Fornecedores'!M140</f>
        <v>0</v>
      </c>
      <c r="K140" s="14"/>
      <c r="L140" s="23" t="e">
        <f t="shared" si="6"/>
        <v>#DIV/0!</v>
      </c>
      <c r="M140" s="23"/>
    </row>
    <row r="141" spans="2:13" x14ac:dyDescent="0.3">
      <c r="B141" s="51">
        <f>'Seleção dos Fornecedores'!B141</f>
        <v>136</v>
      </c>
      <c r="C141" s="14">
        <f>'Critérios de Seleção de Fornece'!C141</f>
        <v>0</v>
      </c>
      <c r="D141" s="14"/>
      <c r="E141" s="14"/>
      <c r="F141" s="14"/>
      <c r="G141" s="14"/>
      <c r="H141" s="14"/>
      <c r="I141" s="52" t="e">
        <f t="shared" si="5"/>
        <v>#DIV/0!</v>
      </c>
      <c r="J141" s="14">
        <f>'Seleção dos Fornecedores'!M141</f>
        <v>0</v>
      </c>
      <c r="K141" s="14"/>
      <c r="L141" s="23" t="e">
        <f t="shared" si="6"/>
        <v>#DIV/0!</v>
      </c>
      <c r="M141" s="23"/>
    </row>
    <row r="142" spans="2:13" x14ac:dyDescent="0.3">
      <c r="B142" s="51">
        <f>'Seleção dos Fornecedores'!B142</f>
        <v>137</v>
      </c>
      <c r="C142" s="14">
        <f>'Critérios de Seleção de Fornece'!C142</f>
        <v>0</v>
      </c>
      <c r="D142" s="14"/>
      <c r="E142" s="14"/>
      <c r="F142" s="14"/>
      <c r="G142" s="14"/>
      <c r="H142" s="14"/>
      <c r="I142" s="52" t="e">
        <f t="shared" si="5"/>
        <v>#DIV/0!</v>
      </c>
      <c r="J142" s="14">
        <f>'Seleção dos Fornecedores'!M142</f>
        <v>0</v>
      </c>
      <c r="K142" s="14"/>
      <c r="L142" s="23" t="e">
        <f t="shared" si="6"/>
        <v>#DIV/0!</v>
      </c>
      <c r="M142" s="23"/>
    </row>
    <row r="143" spans="2:13" x14ac:dyDescent="0.3">
      <c r="B143" s="51">
        <f>'Seleção dos Fornecedores'!B143</f>
        <v>138</v>
      </c>
      <c r="C143" s="14">
        <f>'Critérios de Seleção de Fornece'!C143</f>
        <v>0</v>
      </c>
      <c r="D143" s="14"/>
      <c r="E143" s="14"/>
      <c r="F143" s="14"/>
      <c r="G143" s="14"/>
      <c r="H143" s="14"/>
      <c r="I143" s="52" t="e">
        <f t="shared" si="5"/>
        <v>#DIV/0!</v>
      </c>
      <c r="J143" s="14">
        <f>'Seleção dos Fornecedores'!M143</f>
        <v>0</v>
      </c>
      <c r="K143" s="14"/>
      <c r="L143" s="23" t="e">
        <f t="shared" si="6"/>
        <v>#DIV/0!</v>
      </c>
      <c r="M143" s="23"/>
    </row>
    <row r="144" spans="2:13" x14ac:dyDescent="0.3">
      <c r="B144" s="51">
        <f>'Seleção dos Fornecedores'!B144</f>
        <v>139</v>
      </c>
      <c r="C144" s="14">
        <f>'Critérios de Seleção de Fornece'!C144</f>
        <v>0</v>
      </c>
      <c r="D144" s="14"/>
      <c r="E144" s="14"/>
      <c r="F144" s="14"/>
      <c r="G144" s="14"/>
      <c r="H144" s="14"/>
      <c r="I144" s="52" t="e">
        <f t="shared" si="5"/>
        <v>#DIV/0!</v>
      </c>
      <c r="J144" s="14">
        <f>'Seleção dos Fornecedores'!M144</f>
        <v>0</v>
      </c>
      <c r="K144" s="14"/>
      <c r="L144" s="23" t="e">
        <f t="shared" si="6"/>
        <v>#DIV/0!</v>
      </c>
      <c r="M144" s="23"/>
    </row>
    <row r="145" spans="2:13" x14ac:dyDescent="0.3">
      <c r="B145" s="51">
        <f>'Seleção dos Fornecedores'!B145</f>
        <v>140</v>
      </c>
      <c r="C145" s="14">
        <f>'Critérios de Seleção de Fornece'!C145</f>
        <v>0</v>
      </c>
      <c r="D145" s="14"/>
      <c r="E145" s="14"/>
      <c r="F145" s="14"/>
      <c r="G145" s="14"/>
      <c r="H145" s="14"/>
      <c r="I145" s="52" t="e">
        <f t="shared" si="5"/>
        <v>#DIV/0!</v>
      </c>
      <c r="J145" s="14">
        <f>'Seleção dos Fornecedores'!M145</f>
        <v>0</v>
      </c>
      <c r="K145" s="14"/>
      <c r="L145" s="23" t="e">
        <f t="shared" si="6"/>
        <v>#DIV/0!</v>
      </c>
      <c r="M145" s="23"/>
    </row>
    <row r="146" spans="2:13" x14ac:dyDescent="0.3">
      <c r="B146" s="51">
        <f>'Seleção dos Fornecedores'!B146</f>
        <v>141</v>
      </c>
      <c r="C146" s="14">
        <f>'Critérios de Seleção de Fornece'!C146</f>
        <v>0</v>
      </c>
      <c r="D146" s="14"/>
      <c r="E146" s="14"/>
      <c r="F146" s="14"/>
      <c r="G146" s="14"/>
      <c r="H146" s="14"/>
      <c r="I146" s="52" t="e">
        <f t="shared" si="5"/>
        <v>#DIV/0!</v>
      </c>
      <c r="J146" s="14">
        <f>'Seleção dos Fornecedores'!M146</f>
        <v>0</v>
      </c>
      <c r="K146" s="14"/>
      <c r="L146" s="23" t="e">
        <f t="shared" si="6"/>
        <v>#DIV/0!</v>
      </c>
      <c r="M146" s="23"/>
    </row>
    <row r="147" spans="2:13" x14ac:dyDescent="0.3">
      <c r="B147" s="51">
        <f>'Seleção dos Fornecedores'!B147</f>
        <v>142</v>
      </c>
      <c r="C147" s="14">
        <f>'Critérios de Seleção de Fornece'!C147</f>
        <v>0</v>
      </c>
      <c r="D147" s="14"/>
      <c r="E147" s="14"/>
      <c r="F147" s="14"/>
      <c r="G147" s="14"/>
      <c r="H147" s="14"/>
      <c r="I147" s="52" t="e">
        <f t="shared" si="5"/>
        <v>#DIV/0!</v>
      </c>
      <c r="J147" s="14">
        <f>'Seleção dos Fornecedores'!M147</f>
        <v>0</v>
      </c>
      <c r="K147" s="14"/>
      <c r="L147" s="23" t="e">
        <f t="shared" si="6"/>
        <v>#DIV/0!</v>
      </c>
      <c r="M147" s="23"/>
    </row>
    <row r="148" spans="2:13" x14ac:dyDescent="0.3">
      <c r="B148" s="51">
        <f>'Seleção dos Fornecedores'!B148</f>
        <v>143</v>
      </c>
      <c r="C148" s="14">
        <f>'Critérios de Seleção de Fornece'!C148</f>
        <v>0</v>
      </c>
      <c r="D148" s="14"/>
      <c r="E148" s="14"/>
      <c r="F148" s="14"/>
      <c r="G148" s="14"/>
      <c r="H148" s="14"/>
      <c r="I148" s="52" t="e">
        <f t="shared" si="5"/>
        <v>#DIV/0!</v>
      </c>
      <c r="J148" s="14">
        <f>'Seleção dos Fornecedores'!M148</f>
        <v>0</v>
      </c>
      <c r="K148" s="14"/>
      <c r="L148" s="23" t="e">
        <f t="shared" si="6"/>
        <v>#DIV/0!</v>
      </c>
      <c r="M148" s="23"/>
    </row>
    <row r="149" spans="2:13" x14ac:dyDescent="0.3">
      <c r="B149" s="51">
        <f>'Seleção dos Fornecedores'!B149</f>
        <v>144</v>
      </c>
      <c r="C149" s="14">
        <f>'Critérios de Seleção de Fornece'!C149</f>
        <v>0</v>
      </c>
      <c r="D149" s="14"/>
      <c r="E149" s="14"/>
      <c r="F149" s="14"/>
      <c r="G149" s="14"/>
      <c r="H149" s="14"/>
      <c r="I149" s="52" t="e">
        <f t="shared" si="5"/>
        <v>#DIV/0!</v>
      </c>
      <c r="J149" s="14">
        <f>'Seleção dos Fornecedores'!M149</f>
        <v>0</v>
      </c>
      <c r="K149" s="14"/>
      <c r="L149" s="23" t="e">
        <f t="shared" si="6"/>
        <v>#DIV/0!</v>
      </c>
      <c r="M149" s="23"/>
    </row>
    <row r="150" spans="2:13" x14ac:dyDescent="0.3">
      <c r="B150" s="51">
        <f>'Seleção dos Fornecedores'!B150</f>
        <v>145</v>
      </c>
      <c r="C150" s="14">
        <f>'Critérios de Seleção de Fornece'!C150</f>
        <v>0</v>
      </c>
      <c r="D150" s="14"/>
      <c r="E150" s="14"/>
      <c r="F150" s="14"/>
      <c r="G150" s="14"/>
      <c r="H150" s="14"/>
      <c r="I150" s="52" t="e">
        <f t="shared" si="5"/>
        <v>#DIV/0!</v>
      </c>
      <c r="J150" s="14">
        <f>'Seleção dos Fornecedores'!M150</f>
        <v>0</v>
      </c>
      <c r="K150" s="14"/>
      <c r="L150" s="23" t="e">
        <f t="shared" si="6"/>
        <v>#DIV/0!</v>
      </c>
      <c r="M150" s="23"/>
    </row>
    <row r="151" spans="2:13" x14ac:dyDescent="0.3">
      <c r="B151" s="51">
        <f>'Seleção dos Fornecedores'!B151</f>
        <v>146</v>
      </c>
      <c r="C151" s="14">
        <f>'Critérios de Seleção de Fornece'!C151</f>
        <v>0</v>
      </c>
      <c r="D151" s="14"/>
      <c r="E151" s="14"/>
      <c r="F151" s="14"/>
      <c r="G151" s="14"/>
      <c r="H151" s="14"/>
      <c r="I151" s="52" t="e">
        <f t="shared" si="5"/>
        <v>#DIV/0!</v>
      </c>
      <c r="J151" s="14">
        <f>'Seleção dos Fornecedores'!M151</f>
        <v>0</v>
      </c>
      <c r="K151" s="14"/>
      <c r="L151" s="23" t="e">
        <f t="shared" si="6"/>
        <v>#DIV/0!</v>
      </c>
      <c r="M151" s="23"/>
    </row>
    <row r="152" spans="2:13" x14ac:dyDescent="0.3">
      <c r="B152" s="51">
        <f>'Seleção dos Fornecedores'!B152</f>
        <v>147</v>
      </c>
      <c r="C152" s="14">
        <f>'Critérios de Seleção de Fornece'!C152</f>
        <v>0</v>
      </c>
      <c r="D152" s="14"/>
      <c r="E152" s="14"/>
      <c r="F152" s="14"/>
      <c r="G152" s="14"/>
      <c r="H152" s="14"/>
      <c r="I152" s="52" t="e">
        <f t="shared" si="5"/>
        <v>#DIV/0!</v>
      </c>
      <c r="J152" s="14">
        <f>'Seleção dos Fornecedores'!M152</f>
        <v>0</v>
      </c>
      <c r="K152" s="14"/>
      <c r="L152" s="23" t="e">
        <f t="shared" si="6"/>
        <v>#DIV/0!</v>
      </c>
      <c r="M152" s="23"/>
    </row>
    <row r="153" spans="2:13" x14ac:dyDescent="0.3">
      <c r="B153" s="51">
        <f>'Seleção dos Fornecedores'!B153</f>
        <v>148</v>
      </c>
      <c r="C153" s="14">
        <f>'Critérios de Seleção de Fornece'!C153</f>
        <v>0</v>
      </c>
      <c r="D153" s="14"/>
      <c r="E153" s="14"/>
      <c r="F153" s="14"/>
      <c r="G153" s="14"/>
      <c r="H153" s="14"/>
      <c r="I153" s="52" t="e">
        <f t="shared" si="5"/>
        <v>#DIV/0!</v>
      </c>
      <c r="J153" s="14">
        <f>'Seleção dos Fornecedores'!M153</f>
        <v>0</v>
      </c>
      <c r="K153" s="14"/>
      <c r="L153" s="23" t="e">
        <f t="shared" si="6"/>
        <v>#DIV/0!</v>
      </c>
      <c r="M153" s="23"/>
    </row>
    <row r="154" spans="2:13" x14ac:dyDescent="0.3">
      <c r="B154" s="51">
        <f>'Seleção dos Fornecedores'!B154</f>
        <v>149</v>
      </c>
      <c r="C154" s="14">
        <f>'Critérios de Seleção de Fornece'!C154</f>
        <v>0</v>
      </c>
      <c r="D154" s="14"/>
      <c r="E154" s="14"/>
      <c r="F154" s="14"/>
      <c r="G154" s="14"/>
      <c r="H154" s="14"/>
      <c r="I154" s="52" t="e">
        <f t="shared" ref="I154:I207" si="7">AVERAGE(D154:H154)</f>
        <v>#DIV/0!</v>
      </c>
      <c r="J154" s="14">
        <f>'Seleção dos Fornecedores'!M154</f>
        <v>0</v>
      </c>
      <c r="K154" s="14"/>
      <c r="L154" s="23" t="e">
        <f t="shared" ref="L154:L207" si="8">((5-I154)/4)*0.3 + (J154/4)*0.4 + (K154/4)*0.3</f>
        <v>#DIV/0!</v>
      </c>
      <c r="M154" s="23"/>
    </row>
    <row r="155" spans="2:13" x14ac:dyDescent="0.3">
      <c r="B155" s="51">
        <f>'Seleção dos Fornecedores'!B155</f>
        <v>150</v>
      </c>
      <c r="C155" s="14">
        <f>'Critérios de Seleção de Fornece'!C155</f>
        <v>0</v>
      </c>
      <c r="D155" s="14"/>
      <c r="E155" s="14"/>
      <c r="F155" s="14"/>
      <c r="G155" s="14"/>
      <c r="H155" s="14"/>
      <c r="I155" s="52" t="e">
        <f t="shared" si="7"/>
        <v>#DIV/0!</v>
      </c>
      <c r="J155" s="14">
        <f>'Seleção dos Fornecedores'!M155</f>
        <v>0</v>
      </c>
      <c r="K155" s="14"/>
      <c r="L155" s="23" t="e">
        <f t="shared" si="8"/>
        <v>#DIV/0!</v>
      </c>
      <c r="M155" s="23"/>
    </row>
    <row r="156" spans="2:13" x14ac:dyDescent="0.3">
      <c r="B156" s="51">
        <f>'Seleção dos Fornecedores'!B156</f>
        <v>151</v>
      </c>
      <c r="C156" s="14">
        <f>'Critérios de Seleção de Fornece'!C156</f>
        <v>0</v>
      </c>
      <c r="D156" s="14"/>
      <c r="E156" s="14"/>
      <c r="F156" s="14"/>
      <c r="G156" s="14"/>
      <c r="H156" s="14"/>
      <c r="I156" s="52" t="e">
        <f t="shared" si="7"/>
        <v>#DIV/0!</v>
      </c>
      <c r="J156" s="14">
        <f>'Seleção dos Fornecedores'!M156</f>
        <v>0</v>
      </c>
      <c r="K156" s="14"/>
      <c r="L156" s="23" t="e">
        <f t="shared" si="8"/>
        <v>#DIV/0!</v>
      </c>
      <c r="M156" s="23"/>
    </row>
    <row r="157" spans="2:13" x14ac:dyDescent="0.3">
      <c r="B157" s="51">
        <f>'Seleção dos Fornecedores'!B157</f>
        <v>152</v>
      </c>
      <c r="C157" s="14">
        <f>'Critérios de Seleção de Fornece'!C157</f>
        <v>0</v>
      </c>
      <c r="D157" s="14"/>
      <c r="E157" s="14"/>
      <c r="F157" s="14"/>
      <c r="G157" s="14"/>
      <c r="H157" s="14"/>
      <c r="I157" s="52" t="e">
        <f t="shared" si="7"/>
        <v>#DIV/0!</v>
      </c>
      <c r="J157" s="14">
        <f>'Seleção dos Fornecedores'!M157</f>
        <v>0</v>
      </c>
      <c r="K157" s="14"/>
      <c r="L157" s="23" t="e">
        <f t="shared" si="8"/>
        <v>#DIV/0!</v>
      </c>
      <c r="M157" s="23"/>
    </row>
    <row r="158" spans="2:13" x14ac:dyDescent="0.3">
      <c r="B158" s="51">
        <f>'Seleção dos Fornecedores'!B158</f>
        <v>153</v>
      </c>
      <c r="C158" s="14">
        <f>'Critérios de Seleção de Fornece'!C158</f>
        <v>0</v>
      </c>
      <c r="D158" s="14"/>
      <c r="E158" s="14"/>
      <c r="F158" s="14"/>
      <c r="G158" s="14"/>
      <c r="H158" s="14"/>
      <c r="I158" s="52" t="e">
        <f t="shared" si="7"/>
        <v>#DIV/0!</v>
      </c>
      <c r="J158" s="14">
        <f>'Seleção dos Fornecedores'!M158</f>
        <v>0</v>
      </c>
      <c r="K158" s="14"/>
      <c r="L158" s="23" t="e">
        <f t="shared" si="8"/>
        <v>#DIV/0!</v>
      </c>
      <c r="M158" s="23"/>
    </row>
    <row r="159" spans="2:13" x14ac:dyDescent="0.3">
      <c r="B159" s="51">
        <f>'Seleção dos Fornecedores'!B159</f>
        <v>154</v>
      </c>
      <c r="C159" s="14">
        <f>'Critérios de Seleção de Fornece'!C159</f>
        <v>0</v>
      </c>
      <c r="D159" s="14"/>
      <c r="E159" s="14"/>
      <c r="F159" s="14"/>
      <c r="G159" s="14"/>
      <c r="H159" s="14"/>
      <c r="I159" s="52" t="e">
        <f t="shared" si="7"/>
        <v>#DIV/0!</v>
      </c>
      <c r="J159" s="14">
        <f>'Seleção dos Fornecedores'!M159</f>
        <v>0</v>
      </c>
      <c r="K159" s="14"/>
      <c r="L159" s="23" t="e">
        <f t="shared" si="8"/>
        <v>#DIV/0!</v>
      </c>
      <c r="M159" s="23"/>
    </row>
    <row r="160" spans="2:13" x14ac:dyDescent="0.3">
      <c r="B160" s="51">
        <f>'Seleção dos Fornecedores'!B160</f>
        <v>155</v>
      </c>
      <c r="C160" s="14">
        <f>'Critérios de Seleção de Fornece'!C160</f>
        <v>0</v>
      </c>
      <c r="D160" s="14"/>
      <c r="E160" s="14"/>
      <c r="F160" s="14"/>
      <c r="G160" s="14"/>
      <c r="H160" s="14"/>
      <c r="I160" s="52" t="e">
        <f t="shared" si="7"/>
        <v>#DIV/0!</v>
      </c>
      <c r="J160" s="14">
        <f>'Seleção dos Fornecedores'!M160</f>
        <v>0</v>
      </c>
      <c r="K160" s="14"/>
      <c r="L160" s="23" t="e">
        <f t="shared" si="8"/>
        <v>#DIV/0!</v>
      </c>
      <c r="M160" s="23"/>
    </row>
    <row r="161" spans="2:13" x14ac:dyDescent="0.3">
      <c r="B161" s="51">
        <f>'Seleção dos Fornecedores'!B161</f>
        <v>156</v>
      </c>
      <c r="C161" s="14">
        <f>'Critérios de Seleção de Fornece'!C161</f>
        <v>0</v>
      </c>
      <c r="D161" s="14"/>
      <c r="E161" s="14"/>
      <c r="F161" s="14"/>
      <c r="G161" s="14"/>
      <c r="H161" s="14"/>
      <c r="I161" s="52" t="e">
        <f t="shared" si="7"/>
        <v>#DIV/0!</v>
      </c>
      <c r="J161" s="14">
        <f>'Seleção dos Fornecedores'!M161</f>
        <v>0</v>
      </c>
      <c r="K161" s="14"/>
      <c r="L161" s="23" t="e">
        <f t="shared" si="8"/>
        <v>#DIV/0!</v>
      </c>
      <c r="M161" s="23"/>
    </row>
    <row r="162" spans="2:13" x14ac:dyDescent="0.3">
      <c r="B162" s="51">
        <f>'Seleção dos Fornecedores'!B162</f>
        <v>157</v>
      </c>
      <c r="C162" s="14">
        <f>'Critérios de Seleção de Fornece'!C162</f>
        <v>0</v>
      </c>
      <c r="D162" s="14"/>
      <c r="E162" s="14"/>
      <c r="F162" s="14"/>
      <c r="G162" s="14"/>
      <c r="H162" s="14"/>
      <c r="I162" s="52" t="e">
        <f t="shared" si="7"/>
        <v>#DIV/0!</v>
      </c>
      <c r="J162" s="14">
        <f>'Seleção dos Fornecedores'!M162</f>
        <v>0</v>
      </c>
      <c r="K162" s="14"/>
      <c r="L162" s="23" t="e">
        <f t="shared" si="8"/>
        <v>#DIV/0!</v>
      </c>
      <c r="M162" s="23"/>
    </row>
    <row r="163" spans="2:13" x14ac:dyDescent="0.3">
      <c r="B163" s="51">
        <f>'Seleção dos Fornecedores'!B163</f>
        <v>158</v>
      </c>
      <c r="C163" s="14">
        <f>'Critérios de Seleção de Fornece'!C163</f>
        <v>0</v>
      </c>
      <c r="D163" s="14"/>
      <c r="E163" s="14"/>
      <c r="F163" s="14"/>
      <c r="G163" s="14"/>
      <c r="H163" s="14"/>
      <c r="I163" s="52" t="e">
        <f t="shared" si="7"/>
        <v>#DIV/0!</v>
      </c>
      <c r="J163" s="14">
        <f>'Seleção dos Fornecedores'!M163</f>
        <v>0</v>
      </c>
      <c r="K163" s="14"/>
      <c r="L163" s="23" t="e">
        <f t="shared" si="8"/>
        <v>#DIV/0!</v>
      </c>
      <c r="M163" s="23"/>
    </row>
    <row r="164" spans="2:13" x14ac:dyDescent="0.3">
      <c r="B164" s="51">
        <f>'Seleção dos Fornecedores'!B164</f>
        <v>159</v>
      </c>
      <c r="C164" s="14">
        <f>'Critérios de Seleção de Fornece'!C164</f>
        <v>0</v>
      </c>
      <c r="D164" s="14"/>
      <c r="E164" s="14"/>
      <c r="F164" s="14"/>
      <c r="G164" s="14"/>
      <c r="H164" s="14"/>
      <c r="I164" s="52" t="e">
        <f t="shared" si="7"/>
        <v>#DIV/0!</v>
      </c>
      <c r="J164" s="14">
        <f>'Seleção dos Fornecedores'!M164</f>
        <v>0</v>
      </c>
      <c r="K164" s="14"/>
      <c r="L164" s="23" t="e">
        <f t="shared" si="8"/>
        <v>#DIV/0!</v>
      </c>
      <c r="M164" s="23"/>
    </row>
    <row r="165" spans="2:13" x14ac:dyDescent="0.3">
      <c r="B165" s="51">
        <f>'Seleção dos Fornecedores'!B165</f>
        <v>160</v>
      </c>
      <c r="C165" s="14">
        <f>'Critérios de Seleção de Fornece'!C165</f>
        <v>0</v>
      </c>
      <c r="D165" s="14"/>
      <c r="E165" s="14"/>
      <c r="F165" s="14"/>
      <c r="G165" s="14"/>
      <c r="H165" s="14"/>
      <c r="I165" s="52" t="e">
        <f t="shared" si="7"/>
        <v>#DIV/0!</v>
      </c>
      <c r="J165" s="14">
        <f>'Seleção dos Fornecedores'!M165</f>
        <v>0</v>
      </c>
      <c r="K165" s="14"/>
      <c r="L165" s="23" t="e">
        <f t="shared" si="8"/>
        <v>#DIV/0!</v>
      </c>
      <c r="M165" s="23"/>
    </row>
    <row r="166" spans="2:13" x14ac:dyDescent="0.3">
      <c r="B166" s="51">
        <f>'Seleção dos Fornecedores'!B166</f>
        <v>161</v>
      </c>
      <c r="C166" s="14">
        <f>'Critérios de Seleção de Fornece'!C166</f>
        <v>0</v>
      </c>
      <c r="D166" s="14"/>
      <c r="E166" s="14"/>
      <c r="F166" s="14"/>
      <c r="G166" s="14"/>
      <c r="H166" s="14"/>
      <c r="I166" s="52" t="e">
        <f t="shared" si="7"/>
        <v>#DIV/0!</v>
      </c>
      <c r="J166" s="14">
        <f>'Seleção dos Fornecedores'!M166</f>
        <v>0</v>
      </c>
      <c r="K166" s="14"/>
      <c r="L166" s="23" t="e">
        <f t="shared" si="8"/>
        <v>#DIV/0!</v>
      </c>
      <c r="M166" s="23"/>
    </row>
    <row r="167" spans="2:13" x14ac:dyDescent="0.3">
      <c r="B167" s="51">
        <f>'Seleção dos Fornecedores'!B167</f>
        <v>162</v>
      </c>
      <c r="C167" s="14">
        <f>'Critérios de Seleção de Fornece'!C167</f>
        <v>0</v>
      </c>
      <c r="D167" s="14"/>
      <c r="E167" s="14"/>
      <c r="F167" s="14"/>
      <c r="G167" s="14"/>
      <c r="H167" s="14"/>
      <c r="I167" s="52" t="e">
        <f t="shared" si="7"/>
        <v>#DIV/0!</v>
      </c>
      <c r="J167" s="14">
        <f>'Seleção dos Fornecedores'!M167</f>
        <v>0</v>
      </c>
      <c r="K167" s="14"/>
      <c r="L167" s="23" t="e">
        <f t="shared" si="8"/>
        <v>#DIV/0!</v>
      </c>
      <c r="M167" s="23"/>
    </row>
    <row r="168" spans="2:13" x14ac:dyDescent="0.3">
      <c r="B168" s="51">
        <f>'Seleção dos Fornecedores'!B168</f>
        <v>163</v>
      </c>
      <c r="C168" s="14">
        <f>'Critérios de Seleção de Fornece'!C168</f>
        <v>0</v>
      </c>
      <c r="D168" s="14"/>
      <c r="E168" s="14"/>
      <c r="F168" s="14"/>
      <c r="G168" s="14"/>
      <c r="H168" s="14"/>
      <c r="I168" s="52" t="e">
        <f t="shared" si="7"/>
        <v>#DIV/0!</v>
      </c>
      <c r="J168" s="14">
        <f>'Seleção dos Fornecedores'!M168</f>
        <v>0</v>
      </c>
      <c r="K168" s="14"/>
      <c r="L168" s="23" t="e">
        <f t="shared" si="8"/>
        <v>#DIV/0!</v>
      </c>
      <c r="M168" s="23"/>
    </row>
    <row r="169" spans="2:13" x14ac:dyDescent="0.3">
      <c r="B169" s="51">
        <f>'Seleção dos Fornecedores'!B169</f>
        <v>164</v>
      </c>
      <c r="C169" s="14">
        <f>'Critérios de Seleção de Fornece'!C169</f>
        <v>0</v>
      </c>
      <c r="D169" s="14"/>
      <c r="E169" s="14"/>
      <c r="F169" s="14"/>
      <c r="G169" s="14"/>
      <c r="H169" s="14"/>
      <c r="I169" s="52" t="e">
        <f t="shared" si="7"/>
        <v>#DIV/0!</v>
      </c>
      <c r="J169" s="14">
        <f>'Seleção dos Fornecedores'!M169</f>
        <v>0</v>
      </c>
      <c r="K169" s="14"/>
      <c r="L169" s="23" t="e">
        <f t="shared" si="8"/>
        <v>#DIV/0!</v>
      </c>
      <c r="M169" s="23"/>
    </row>
    <row r="170" spans="2:13" x14ac:dyDescent="0.3">
      <c r="B170" s="51">
        <f>'Seleção dos Fornecedores'!B170</f>
        <v>165</v>
      </c>
      <c r="C170" s="14">
        <f>'Critérios de Seleção de Fornece'!C170</f>
        <v>0</v>
      </c>
      <c r="D170" s="14"/>
      <c r="E170" s="14"/>
      <c r="F170" s="14"/>
      <c r="G170" s="14"/>
      <c r="H170" s="14"/>
      <c r="I170" s="52" t="e">
        <f t="shared" si="7"/>
        <v>#DIV/0!</v>
      </c>
      <c r="J170" s="14">
        <f>'Seleção dos Fornecedores'!M170</f>
        <v>0</v>
      </c>
      <c r="K170" s="14"/>
      <c r="L170" s="23" t="e">
        <f t="shared" si="8"/>
        <v>#DIV/0!</v>
      </c>
      <c r="M170" s="23"/>
    </row>
    <row r="171" spans="2:13" x14ac:dyDescent="0.3">
      <c r="B171" s="51">
        <f>'Seleção dos Fornecedores'!B171</f>
        <v>166</v>
      </c>
      <c r="C171" s="14">
        <f>'Critérios de Seleção de Fornece'!C171</f>
        <v>0</v>
      </c>
      <c r="D171" s="14"/>
      <c r="E171" s="14"/>
      <c r="F171" s="14"/>
      <c r="G171" s="14"/>
      <c r="H171" s="14"/>
      <c r="I171" s="52" t="e">
        <f t="shared" si="7"/>
        <v>#DIV/0!</v>
      </c>
      <c r="J171" s="14">
        <f>'Seleção dos Fornecedores'!M171</f>
        <v>0</v>
      </c>
      <c r="K171" s="14"/>
      <c r="L171" s="23" t="e">
        <f t="shared" si="8"/>
        <v>#DIV/0!</v>
      </c>
      <c r="M171" s="23"/>
    </row>
    <row r="172" spans="2:13" x14ac:dyDescent="0.3">
      <c r="B172" s="51">
        <f>'Seleção dos Fornecedores'!B172</f>
        <v>167</v>
      </c>
      <c r="C172" s="14">
        <f>'Critérios de Seleção de Fornece'!C172</f>
        <v>0</v>
      </c>
      <c r="D172" s="14"/>
      <c r="E172" s="14"/>
      <c r="F172" s="14"/>
      <c r="G172" s="14"/>
      <c r="H172" s="14"/>
      <c r="I172" s="52" t="e">
        <f t="shared" si="7"/>
        <v>#DIV/0!</v>
      </c>
      <c r="J172" s="14">
        <f>'Seleção dos Fornecedores'!M172</f>
        <v>0</v>
      </c>
      <c r="K172" s="14"/>
      <c r="L172" s="23" t="e">
        <f t="shared" si="8"/>
        <v>#DIV/0!</v>
      </c>
      <c r="M172" s="23"/>
    </row>
    <row r="173" spans="2:13" x14ac:dyDescent="0.3">
      <c r="B173" s="51">
        <f>'Seleção dos Fornecedores'!B173</f>
        <v>168</v>
      </c>
      <c r="C173" s="14">
        <f>'Critérios de Seleção de Fornece'!C173</f>
        <v>0</v>
      </c>
      <c r="D173" s="14"/>
      <c r="E173" s="14"/>
      <c r="F173" s="14"/>
      <c r="G173" s="14"/>
      <c r="H173" s="14"/>
      <c r="I173" s="52" t="e">
        <f t="shared" si="7"/>
        <v>#DIV/0!</v>
      </c>
      <c r="J173" s="14">
        <f>'Seleção dos Fornecedores'!M173</f>
        <v>0</v>
      </c>
      <c r="K173" s="14"/>
      <c r="L173" s="23" t="e">
        <f t="shared" si="8"/>
        <v>#DIV/0!</v>
      </c>
      <c r="M173" s="23"/>
    </row>
    <row r="174" spans="2:13" x14ac:dyDescent="0.3">
      <c r="B174" s="51">
        <f>'Seleção dos Fornecedores'!B174</f>
        <v>169</v>
      </c>
      <c r="C174" s="14">
        <f>'Critérios de Seleção de Fornece'!C174</f>
        <v>0</v>
      </c>
      <c r="D174" s="14"/>
      <c r="E174" s="14"/>
      <c r="F174" s="14"/>
      <c r="G174" s="14"/>
      <c r="H174" s="14"/>
      <c r="I174" s="52" t="e">
        <f t="shared" si="7"/>
        <v>#DIV/0!</v>
      </c>
      <c r="J174" s="14">
        <f>'Seleção dos Fornecedores'!M174</f>
        <v>0</v>
      </c>
      <c r="K174" s="14"/>
      <c r="L174" s="23" t="e">
        <f t="shared" si="8"/>
        <v>#DIV/0!</v>
      </c>
      <c r="M174" s="23"/>
    </row>
    <row r="175" spans="2:13" x14ac:dyDescent="0.3">
      <c r="B175" s="51">
        <f>'Seleção dos Fornecedores'!B175</f>
        <v>170</v>
      </c>
      <c r="C175" s="14">
        <f>'Critérios de Seleção de Fornece'!C175</f>
        <v>0</v>
      </c>
      <c r="D175" s="14"/>
      <c r="E175" s="14"/>
      <c r="F175" s="14"/>
      <c r="G175" s="14"/>
      <c r="H175" s="14"/>
      <c r="I175" s="52" t="e">
        <f t="shared" si="7"/>
        <v>#DIV/0!</v>
      </c>
      <c r="J175" s="14">
        <f>'Seleção dos Fornecedores'!M175</f>
        <v>0</v>
      </c>
      <c r="K175" s="14"/>
      <c r="L175" s="23" t="e">
        <f t="shared" si="8"/>
        <v>#DIV/0!</v>
      </c>
      <c r="M175" s="23"/>
    </row>
    <row r="176" spans="2:13" x14ac:dyDescent="0.3">
      <c r="B176" s="51">
        <f>'Seleção dos Fornecedores'!B176</f>
        <v>171</v>
      </c>
      <c r="C176" s="14">
        <f>'Critérios de Seleção de Fornece'!C176</f>
        <v>0</v>
      </c>
      <c r="D176" s="14"/>
      <c r="E176" s="14"/>
      <c r="F176" s="14"/>
      <c r="G176" s="14"/>
      <c r="H176" s="14"/>
      <c r="I176" s="52" t="e">
        <f t="shared" si="7"/>
        <v>#DIV/0!</v>
      </c>
      <c r="J176" s="14">
        <f>'Seleção dos Fornecedores'!M176</f>
        <v>0</v>
      </c>
      <c r="K176" s="14"/>
      <c r="L176" s="23" t="e">
        <f t="shared" si="8"/>
        <v>#DIV/0!</v>
      </c>
      <c r="M176" s="23"/>
    </row>
    <row r="177" spans="2:13" x14ac:dyDescent="0.3">
      <c r="B177" s="51">
        <f>'Seleção dos Fornecedores'!B177</f>
        <v>172</v>
      </c>
      <c r="C177" s="14">
        <f>'Critérios de Seleção de Fornece'!C177</f>
        <v>0</v>
      </c>
      <c r="D177" s="14"/>
      <c r="E177" s="14"/>
      <c r="F177" s="14"/>
      <c r="G177" s="14"/>
      <c r="H177" s="14"/>
      <c r="I177" s="52" t="e">
        <f t="shared" si="7"/>
        <v>#DIV/0!</v>
      </c>
      <c r="J177" s="14">
        <f>'Seleção dos Fornecedores'!M177</f>
        <v>0</v>
      </c>
      <c r="K177" s="14"/>
      <c r="L177" s="23" t="e">
        <f t="shared" si="8"/>
        <v>#DIV/0!</v>
      </c>
      <c r="M177" s="23"/>
    </row>
    <row r="178" spans="2:13" x14ac:dyDescent="0.3">
      <c r="B178" s="51">
        <f>'Seleção dos Fornecedores'!B178</f>
        <v>173</v>
      </c>
      <c r="C178" s="14">
        <f>'Critérios de Seleção de Fornece'!C178</f>
        <v>0</v>
      </c>
      <c r="D178" s="14"/>
      <c r="E178" s="14"/>
      <c r="F178" s="14"/>
      <c r="G178" s="14"/>
      <c r="H178" s="14"/>
      <c r="I178" s="52" t="e">
        <f t="shared" si="7"/>
        <v>#DIV/0!</v>
      </c>
      <c r="J178" s="14">
        <f>'Seleção dos Fornecedores'!M178</f>
        <v>0</v>
      </c>
      <c r="K178" s="14"/>
      <c r="L178" s="23" t="e">
        <f t="shared" si="8"/>
        <v>#DIV/0!</v>
      </c>
      <c r="M178" s="23"/>
    </row>
    <row r="179" spans="2:13" x14ac:dyDescent="0.3">
      <c r="B179" s="51">
        <f>'Seleção dos Fornecedores'!B179</f>
        <v>174</v>
      </c>
      <c r="C179" s="14">
        <f>'Critérios de Seleção de Fornece'!C179</f>
        <v>0</v>
      </c>
      <c r="D179" s="14"/>
      <c r="E179" s="14"/>
      <c r="F179" s="14"/>
      <c r="G179" s="14"/>
      <c r="H179" s="14"/>
      <c r="I179" s="52" t="e">
        <f t="shared" si="7"/>
        <v>#DIV/0!</v>
      </c>
      <c r="J179" s="14">
        <f>'Seleção dos Fornecedores'!M179</f>
        <v>0</v>
      </c>
      <c r="K179" s="14"/>
      <c r="L179" s="23" t="e">
        <f t="shared" si="8"/>
        <v>#DIV/0!</v>
      </c>
      <c r="M179" s="23"/>
    </row>
    <row r="180" spans="2:13" x14ac:dyDescent="0.3">
      <c r="B180" s="51">
        <f>'Seleção dos Fornecedores'!B180</f>
        <v>175</v>
      </c>
      <c r="C180" s="14">
        <f>'Critérios de Seleção de Fornece'!C180</f>
        <v>0</v>
      </c>
      <c r="D180" s="14"/>
      <c r="E180" s="14"/>
      <c r="F180" s="14"/>
      <c r="G180" s="14"/>
      <c r="H180" s="14"/>
      <c r="I180" s="52" t="e">
        <f t="shared" si="7"/>
        <v>#DIV/0!</v>
      </c>
      <c r="J180" s="14">
        <f>'Seleção dos Fornecedores'!M180</f>
        <v>0</v>
      </c>
      <c r="K180" s="14"/>
      <c r="L180" s="23" t="e">
        <f t="shared" si="8"/>
        <v>#DIV/0!</v>
      </c>
      <c r="M180" s="23"/>
    </row>
    <row r="181" spans="2:13" x14ac:dyDescent="0.3">
      <c r="B181" s="51">
        <f>'Seleção dos Fornecedores'!B181</f>
        <v>176</v>
      </c>
      <c r="C181" s="14">
        <f>'Critérios de Seleção de Fornece'!C181</f>
        <v>0</v>
      </c>
      <c r="D181" s="14"/>
      <c r="E181" s="14"/>
      <c r="F181" s="14"/>
      <c r="G181" s="14"/>
      <c r="H181" s="14"/>
      <c r="I181" s="52" t="e">
        <f t="shared" si="7"/>
        <v>#DIV/0!</v>
      </c>
      <c r="J181" s="14">
        <f>'Seleção dos Fornecedores'!M181</f>
        <v>0</v>
      </c>
      <c r="K181" s="14"/>
      <c r="L181" s="23" t="e">
        <f t="shared" si="8"/>
        <v>#DIV/0!</v>
      </c>
      <c r="M181" s="23"/>
    </row>
    <row r="182" spans="2:13" x14ac:dyDescent="0.3">
      <c r="B182" s="51">
        <f>'Seleção dos Fornecedores'!B182</f>
        <v>177</v>
      </c>
      <c r="C182" s="14">
        <f>'Critérios de Seleção de Fornece'!C182</f>
        <v>0</v>
      </c>
      <c r="D182" s="14"/>
      <c r="E182" s="14"/>
      <c r="F182" s="14"/>
      <c r="G182" s="14"/>
      <c r="H182" s="14"/>
      <c r="I182" s="52" t="e">
        <f t="shared" si="7"/>
        <v>#DIV/0!</v>
      </c>
      <c r="J182" s="14">
        <f>'Seleção dos Fornecedores'!M182</f>
        <v>0</v>
      </c>
      <c r="K182" s="14"/>
      <c r="L182" s="23" t="e">
        <f t="shared" si="8"/>
        <v>#DIV/0!</v>
      </c>
      <c r="M182" s="23"/>
    </row>
    <row r="183" spans="2:13" x14ac:dyDescent="0.3">
      <c r="B183" s="51">
        <f>'Seleção dos Fornecedores'!B183</f>
        <v>178</v>
      </c>
      <c r="C183" s="14">
        <f>'Critérios de Seleção de Fornece'!C183</f>
        <v>0</v>
      </c>
      <c r="D183" s="14"/>
      <c r="E183" s="14"/>
      <c r="F183" s="14"/>
      <c r="G183" s="14"/>
      <c r="H183" s="14"/>
      <c r="I183" s="52" t="e">
        <f t="shared" si="7"/>
        <v>#DIV/0!</v>
      </c>
      <c r="J183" s="14">
        <f>'Seleção dos Fornecedores'!M183</f>
        <v>0</v>
      </c>
      <c r="K183" s="14"/>
      <c r="L183" s="23" t="e">
        <f t="shared" si="8"/>
        <v>#DIV/0!</v>
      </c>
      <c r="M183" s="23"/>
    </row>
    <row r="184" spans="2:13" x14ac:dyDescent="0.3">
      <c r="B184" s="51">
        <f>'Seleção dos Fornecedores'!B184</f>
        <v>179</v>
      </c>
      <c r="C184" s="14">
        <f>'Critérios de Seleção de Fornece'!C184</f>
        <v>0</v>
      </c>
      <c r="D184" s="14"/>
      <c r="E184" s="14"/>
      <c r="F184" s="14"/>
      <c r="G184" s="14"/>
      <c r="H184" s="14"/>
      <c r="I184" s="52" t="e">
        <f t="shared" si="7"/>
        <v>#DIV/0!</v>
      </c>
      <c r="J184" s="14">
        <f>'Seleção dos Fornecedores'!M184</f>
        <v>0</v>
      </c>
      <c r="K184" s="14"/>
      <c r="L184" s="23" t="e">
        <f t="shared" si="8"/>
        <v>#DIV/0!</v>
      </c>
      <c r="M184" s="23"/>
    </row>
    <row r="185" spans="2:13" x14ac:dyDescent="0.3">
      <c r="B185" s="51">
        <f>'Seleção dos Fornecedores'!B185</f>
        <v>180</v>
      </c>
      <c r="C185" s="14">
        <f>'Critérios de Seleção de Fornece'!C185</f>
        <v>0</v>
      </c>
      <c r="D185" s="14"/>
      <c r="E185" s="14"/>
      <c r="F185" s="14"/>
      <c r="G185" s="14"/>
      <c r="H185" s="14"/>
      <c r="I185" s="52" t="e">
        <f t="shared" si="7"/>
        <v>#DIV/0!</v>
      </c>
      <c r="J185" s="14">
        <f>'Seleção dos Fornecedores'!M185</f>
        <v>0</v>
      </c>
      <c r="K185" s="14"/>
      <c r="L185" s="23" t="e">
        <f t="shared" si="8"/>
        <v>#DIV/0!</v>
      </c>
      <c r="M185" s="23"/>
    </row>
    <row r="186" spans="2:13" x14ac:dyDescent="0.3">
      <c r="B186" s="51">
        <f>'Seleção dos Fornecedores'!B186</f>
        <v>181</v>
      </c>
      <c r="C186" s="14">
        <f>'Critérios de Seleção de Fornece'!C186</f>
        <v>0</v>
      </c>
      <c r="D186" s="14"/>
      <c r="E186" s="14"/>
      <c r="F186" s="14"/>
      <c r="G186" s="14"/>
      <c r="H186" s="14"/>
      <c r="I186" s="52" t="e">
        <f t="shared" si="7"/>
        <v>#DIV/0!</v>
      </c>
      <c r="J186" s="14">
        <f>'Seleção dos Fornecedores'!M186</f>
        <v>0</v>
      </c>
      <c r="K186" s="14"/>
      <c r="L186" s="23" t="e">
        <f t="shared" si="8"/>
        <v>#DIV/0!</v>
      </c>
      <c r="M186" s="23"/>
    </row>
    <row r="187" spans="2:13" x14ac:dyDescent="0.3">
      <c r="B187" s="51">
        <f>'Seleção dos Fornecedores'!B187</f>
        <v>182</v>
      </c>
      <c r="C187" s="14">
        <f>'Critérios de Seleção de Fornece'!C187</f>
        <v>0</v>
      </c>
      <c r="D187" s="14"/>
      <c r="E187" s="14"/>
      <c r="F187" s="14"/>
      <c r="G187" s="14"/>
      <c r="H187" s="14"/>
      <c r="I187" s="52" t="e">
        <f t="shared" si="7"/>
        <v>#DIV/0!</v>
      </c>
      <c r="J187" s="14">
        <f>'Seleção dos Fornecedores'!M187</f>
        <v>0</v>
      </c>
      <c r="K187" s="14"/>
      <c r="L187" s="23" t="e">
        <f t="shared" si="8"/>
        <v>#DIV/0!</v>
      </c>
      <c r="M187" s="23"/>
    </row>
    <row r="188" spans="2:13" x14ac:dyDescent="0.3">
      <c r="B188" s="51">
        <f>'Seleção dos Fornecedores'!B188</f>
        <v>183</v>
      </c>
      <c r="C188" s="14">
        <f>'Critérios de Seleção de Fornece'!C188</f>
        <v>0</v>
      </c>
      <c r="D188" s="14"/>
      <c r="E188" s="14"/>
      <c r="F188" s="14"/>
      <c r="G188" s="14"/>
      <c r="H188" s="14"/>
      <c r="I188" s="52" t="e">
        <f t="shared" si="7"/>
        <v>#DIV/0!</v>
      </c>
      <c r="J188" s="14">
        <f>'Seleção dos Fornecedores'!M188</f>
        <v>0</v>
      </c>
      <c r="K188" s="14"/>
      <c r="L188" s="23" t="e">
        <f t="shared" si="8"/>
        <v>#DIV/0!</v>
      </c>
      <c r="M188" s="23"/>
    </row>
    <row r="189" spans="2:13" x14ac:dyDescent="0.3">
      <c r="B189" s="51">
        <f>'Seleção dos Fornecedores'!B189</f>
        <v>184</v>
      </c>
      <c r="C189" s="14">
        <f>'Critérios de Seleção de Fornece'!C189</f>
        <v>0</v>
      </c>
      <c r="D189" s="14"/>
      <c r="E189" s="14"/>
      <c r="F189" s="14"/>
      <c r="G189" s="14"/>
      <c r="H189" s="14"/>
      <c r="I189" s="52" t="e">
        <f t="shared" si="7"/>
        <v>#DIV/0!</v>
      </c>
      <c r="J189" s="14">
        <f>'Seleção dos Fornecedores'!M189</f>
        <v>0</v>
      </c>
      <c r="K189" s="14"/>
      <c r="L189" s="23" t="e">
        <f t="shared" si="8"/>
        <v>#DIV/0!</v>
      </c>
      <c r="M189" s="23"/>
    </row>
    <row r="190" spans="2:13" x14ac:dyDescent="0.3">
      <c r="B190" s="51">
        <f>'Seleção dos Fornecedores'!B190</f>
        <v>185</v>
      </c>
      <c r="C190" s="14">
        <f>'Critérios de Seleção de Fornece'!C190</f>
        <v>0</v>
      </c>
      <c r="D190" s="14"/>
      <c r="E190" s="14"/>
      <c r="F190" s="14"/>
      <c r="G190" s="14"/>
      <c r="H190" s="14"/>
      <c r="I190" s="52" t="e">
        <f t="shared" si="7"/>
        <v>#DIV/0!</v>
      </c>
      <c r="J190" s="14">
        <f>'Seleção dos Fornecedores'!M190</f>
        <v>0</v>
      </c>
      <c r="K190" s="14"/>
      <c r="L190" s="23" t="e">
        <f t="shared" si="8"/>
        <v>#DIV/0!</v>
      </c>
      <c r="M190" s="23"/>
    </row>
    <row r="191" spans="2:13" x14ac:dyDescent="0.3">
      <c r="B191" s="51">
        <f>'Seleção dos Fornecedores'!B191</f>
        <v>186</v>
      </c>
      <c r="C191" s="14">
        <f>'Critérios de Seleção de Fornece'!C191</f>
        <v>0</v>
      </c>
      <c r="D191" s="14"/>
      <c r="E191" s="14"/>
      <c r="F191" s="14"/>
      <c r="G191" s="14"/>
      <c r="H191" s="14"/>
      <c r="I191" s="52" t="e">
        <f t="shared" si="7"/>
        <v>#DIV/0!</v>
      </c>
      <c r="J191" s="14">
        <f>'Seleção dos Fornecedores'!M191</f>
        <v>0</v>
      </c>
      <c r="K191" s="14"/>
      <c r="L191" s="23" t="e">
        <f t="shared" si="8"/>
        <v>#DIV/0!</v>
      </c>
      <c r="M191" s="23"/>
    </row>
    <row r="192" spans="2:13" x14ac:dyDescent="0.3">
      <c r="B192" s="51">
        <f>'Seleção dos Fornecedores'!B192</f>
        <v>187</v>
      </c>
      <c r="C192" s="14">
        <f>'Critérios de Seleção de Fornece'!C192</f>
        <v>0</v>
      </c>
      <c r="D192" s="14"/>
      <c r="E192" s="14"/>
      <c r="F192" s="14"/>
      <c r="G192" s="14"/>
      <c r="H192" s="14"/>
      <c r="I192" s="52" t="e">
        <f t="shared" si="7"/>
        <v>#DIV/0!</v>
      </c>
      <c r="J192" s="14">
        <f>'Seleção dos Fornecedores'!M192</f>
        <v>0</v>
      </c>
      <c r="K192" s="14"/>
      <c r="L192" s="23" t="e">
        <f t="shared" si="8"/>
        <v>#DIV/0!</v>
      </c>
      <c r="M192" s="23"/>
    </row>
    <row r="193" spans="2:13" x14ac:dyDescent="0.3">
      <c r="B193" s="51">
        <f>'Seleção dos Fornecedores'!B193</f>
        <v>188</v>
      </c>
      <c r="C193" s="14">
        <f>'Critérios de Seleção de Fornece'!C193</f>
        <v>0</v>
      </c>
      <c r="D193" s="14"/>
      <c r="E193" s="14"/>
      <c r="F193" s="14"/>
      <c r="G193" s="14"/>
      <c r="H193" s="14"/>
      <c r="I193" s="52" t="e">
        <f t="shared" si="7"/>
        <v>#DIV/0!</v>
      </c>
      <c r="J193" s="14">
        <f>'Seleção dos Fornecedores'!M193</f>
        <v>0</v>
      </c>
      <c r="K193" s="14"/>
      <c r="L193" s="23" t="e">
        <f t="shared" si="8"/>
        <v>#DIV/0!</v>
      </c>
      <c r="M193" s="23"/>
    </row>
    <row r="194" spans="2:13" x14ac:dyDescent="0.3">
      <c r="B194" s="51">
        <f>'Seleção dos Fornecedores'!B194</f>
        <v>189</v>
      </c>
      <c r="C194" s="14">
        <f>'Critérios de Seleção de Fornece'!C194</f>
        <v>0</v>
      </c>
      <c r="D194" s="14"/>
      <c r="E194" s="14"/>
      <c r="F194" s="14"/>
      <c r="G194" s="14"/>
      <c r="H194" s="14"/>
      <c r="I194" s="52" t="e">
        <f t="shared" si="7"/>
        <v>#DIV/0!</v>
      </c>
      <c r="J194" s="14">
        <f>'Seleção dos Fornecedores'!M194</f>
        <v>0</v>
      </c>
      <c r="K194" s="14"/>
      <c r="L194" s="23" t="e">
        <f t="shared" si="8"/>
        <v>#DIV/0!</v>
      </c>
      <c r="M194" s="23"/>
    </row>
    <row r="195" spans="2:13" x14ac:dyDescent="0.3">
      <c r="B195" s="51">
        <f>'Seleção dos Fornecedores'!B195</f>
        <v>190</v>
      </c>
      <c r="C195" s="14">
        <f>'Critérios de Seleção de Fornece'!C195</f>
        <v>0</v>
      </c>
      <c r="D195" s="14"/>
      <c r="E195" s="14"/>
      <c r="F195" s="14"/>
      <c r="G195" s="14"/>
      <c r="H195" s="14"/>
      <c r="I195" s="52" t="e">
        <f t="shared" si="7"/>
        <v>#DIV/0!</v>
      </c>
      <c r="J195" s="14">
        <f>'Seleção dos Fornecedores'!M195</f>
        <v>0</v>
      </c>
      <c r="K195" s="14"/>
      <c r="L195" s="23" t="e">
        <f t="shared" si="8"/>
        <v>#DIV/0!</v>
      </c>
      <c r="M195" s="23"/>
    </row>
    <row r="196" spans="2:13" x14ac:dyDescent="0.3">
      <c r="B196" s="51">
        <f>'Seleção dos Fornecedores'!B196</f>
        <v>191</v>
      </c>
      <c r="C196" s="14">
        <f>'Critérios de Seleção de Fornece'!C196</f>
        <v>0</v>
      </c>
      <c r="D196" s="14"/>
      <c r="E196" s="14"/>
      <c r="F196" s="14"/>
      <c r="G196" s="14"/>
      <c r="H196" s="14"/>
      <c r="I196" s="52" t="e">
        <f t="shared" si="7"/>
        <v>#DIV/0!</v>
      </c>
      <c r="J196" s="14">
        <f>'Seleção dos Fornecedores'!M196</f>
        <v>0</v>
      </c>
      <c r="K196" s="14"/>
      <c r="L196" s="23" t="e">
        <f t="shared" si="8"/>
        <v>#DIV/0!</v>
      </c>
      <c r="M196" s="23"/>
    </row>
    <row r="197" spans="2:13" x14ac:dyDescent="0.3">
      <c r="B197" s="51">
        <f>'Seleção dos Fornecedores'!B197</f>
        <v>192</v>
      </c>
      <c r="C197" s="14">
        <f>'Critérios de Seleção de Fornece'!C197</f>
        <v>0</v>
      </c>
      <c r="D197" s="14"/>
      <c r="E197" s="14"/>
      <c r="F197" s="14"/>
      <c r="G197" s="14"/>
      <c r="H197" s="14"/>
      <c r="I197" s="52" t="e">
        <f t="shared" si="7"/>
        <v>#DIV/0!</v>
      </c>
      <c r="J197" s="14">
        <f>'Seleção dos Fornecedores'!M197</f>
        <v>0</v>
      </c>
      <c r="K197" s="14"/>
      <c r="L197" s="23" t="e">
        <f t="shared" si="8"/>
        <v>#DIV/0!</v>
      </c>
      <c r="M197" s="23"/>
    </row>
    <row r="198" spans="2:13" x14ac:dyDescent="0.3">
      <c r="B198" s="51">
        <f>'Seleção dos Fornecedores'!B198</f>
        <v>193</v>
      </c>
      <c r="C198" s="14">
        <f>'Critérios de Seleção de Fornece'!C198</f>
        <v>0</v>
      </c>
      <c r="D198" s="14"/>
      <c r="E198" s="14"/>
      <c r="F198" s="14"/>
      <c r="G198" s="14"/>
      <c r="H198" s="14"/>
      <c r="I198" s="52" t="e">
        <f t="shared" si="7"/>
        <v>#DIV/0!</v>
      </c>
      <c r="J198" s="14">
        <f>'Seleção dos Fornecedores'!M198</f>
        <v>0</v>
      </c>
      <c r="K198" s="14"/>
      <c r="L198" s="23" t="e">
        <f t="shared" si="8"/>
        <v>#DIV/0!</v>
      </c>
      <c r="M198" s="23"/>
    </row>
    <row r="199" spans="2:13" x14ac:dyDescent="0.3">
      <c r="B199" s="51">
        <f>'Seleção dos Fornecedores'!B199</f>
        <v>194</v>
      </c>
      <c r="C199" s="14">
        <f>'Critérios de Seleção de Fornece'!C199</f>
        <v>0</v>
      </c>
      <c r="D199" s="14"/>
      <c r="E199" s="14"/>
      <c r="F199" s="14"/>
      <c r="G199" s="14"/>
      <c r="H199" s="14"/>
      <c r="I199" s="52" t="e">
        <f t="shared" si="7"/>
        <v>#DIV/0!</v>
      </c>
      <c r="J199" s="14">
        <f>'Seleção dos Fornecedores'!M199</f>
        <v>0</v>
      </c>
      <c r="K199" s="14"/>
      <c r="L199" s="23" t="e">
        <f t="shared" si="8"/>
        <v>#DIV/0!</v>
      </c>
      <c r="M199" s="23"/>
    </row>
    <row r="200" spans="2:13" x14ac:dyDescent="0.3">
      <c r="B200" s="51">
        <f>'Seleção dos Fornecedores'!B200</f>
        <v>195</v>
      </c>
      <c r="C200" s="14">
        <f>'Critérios de Seleção de Fornece'!C200</f>
        <v>0</v>
      </c>
      <c r="D200" s="14"/>
      <c r="E200" s="14"/>
      <c r="F200" s="14"/>
      <c r="G200" s="14"/>
      <c r="H200" s="14"/>
      <c r="I200" s="52" t="e">
        <f t="shared" si="7"/>
        <v>#DIV/0!</v>
      </c>
      <c r="J200" s="14">
        <f>'Seleção dos Fornecedores'!M200</f>
        <v>0</v>
      </c>
      <c r="K200" s="14"/>
      <c r="L200" s="23" t="e">
        <f t="shared" si="8"/>
        <v>#DIV/0!</v>
      </c>
      <c r="M200" s="23"/>
    </row>
    <row r="201" spans="2:13" x14ac:dyDescent="0.3">
      <c r="B201" s="51">
        <f>'Seleção dos Fornecedores'!B201</f>
        <v>196</v>
      </c>
      <c r="C201" s="14">
        <f>'Critérios de Seleção de Fornece'!C201</f>
        <v>0</v>
      </c>
      <c r="D201" s="14"/>
      <c r="E201" s="14"/>
      <c r="F201" s="14"/>
      <c r="G201" s="14"/>
      <c r="H201" s="14"/>
      <c r="I201" s="52" t="e">
        <f t="shared" si="7"/>
        <v>#DIV/0!</v>
      </c>
      <c r="J201" s="14">
        <f>'Seleção dos Fornecedores'!M201</f>
        <v>0</v>
      </c>
      <c r="K201" s="14"/>
      <c r="L201" s="23" t="e">
        <f t="shared" si="8"/>
        <v>#DIV/0!</v>
      </c>
      <c r="M201" s="23"/>
    </row>
    <row r="202" spans="2:13" x14ac:dyDescent="0.3">
      <c r="B202" s="51">
        <f>'Seleção dos Fornecedores'!B202</f>
        <v>197</v>
      </c>
      <c r="C202" s="14">
        <f>'Critérios de Seleção de Fornece'!C202</f>
        <v>0</v>
      </c>
      <c r="D202" s="14"/>
      <c r="E202" s="14"/>
      <c r="F202" s="14"/>
      <c r="G202" s="14"/>
      <c r="H202" s="14"/>
      <c r="I202" s="52" t="e">
        <f t="shared" si="7"/>
        <v>#DIV/0!</v>
      </c>
      <c r="J202" s="14">
        <f>'Seleção dos Fornecedores'!M202</f>
        <v>0</v>
      </c>
      <c r="K202" s="14"/>
      <c r="L202" s="23" t="e">
        <f t="shared" si="8"/>
        <v>#DIV/0!</v>
      </c>
      <c r="M202" s="23"/>
    </row>
    <row r="203" spans="2:13" x14ac:dyDescent="0.3">
      <c r="B203" s="51">
        <f>'Seleção dos Fornecedores'!B203</f>
        <v>198</v>
      </c>
      <c r="C203" s="14">
        <f>'Critérios de Seleção de Fornece'!C203</f>
        <v>0</v>
      </c>
      <c r="D203" s="14"/>
      <c r="E203" s="14"/>
      <c r="F203" s="14"/>
      <c r="G203" s="14"/>
      <c r="H203" s="14"/>
      <c r="I203" s="52" t="e">
        <f t="shared" si="7"/>
        <v>#DIV/0!</v>
      </c>
      <c r="J203" s="14">
        <f>'Seleção dos Fornecedores'!M203</f>
        <v>0</v>
      </c>
      <c r="K203" s="14"/>
      <c r="L203" s="23" t="e">
        <f t="shared" si="8"/>
        <v>#DIV/0!</v>
      </c>
      <c r="M203" s="23"/>
    </row>
    <row r="204" spans="2:13" x14ac:dyDescent="0.3">
      <c r="B204" s="51">
        <f>'Seleção dos Fornecedores'!B204</f>
        <v>199</v>
      </c>
      <c r="C204" s="14">
        <f>'Critérios de Seleção de Fornece'!C204</f>
        <v>0</v>
      </c>
      <c r="D204" s="14"/>
      <c r="E204" s="14"/>
      <c r="F204" s="14"/>
      <c r="G204" s="14"/>
      <c r="H204" s="14"/>
      <c r="I204" s="52" t="e">
        <f t="shared" si="7"/>
        <v>#DIV/0!</v>
      </c>
      <c r="J204" s="14">
        <f>'Seleção dos Fornecedores'!M204</f>
        <v>0</v>
      </c>
      <c r="K204" s="14"/>
      <c r="L204" s="23" t="e">
        <f t="shared" si="8"/>
        <v>#DIV/0!</v>
      </c>
      <c r="M204" s="23"/>
    </row>
    <row r="205" spans="2:13" x14ac:dyDescent="0.3">
      <c r="B205" s="51">
        <f>'Seleção dos Fornecedores'!B205</f>
        <v>200</v>
      </c>
      <c r="C205" s="14">
        <f>'Critérios de Seleção de Fornece'!C205</f>
        <v>0</v>
      </c>
      <c r="D205" s="14"/>
      <c r="E205" s="14"/>
      <c r="F205" s="14"/>
      <c r="G205" s="14"/>
      <c r="H205" s="14"/>
      <c r="I205" s="52" t="e">
        <f t="shared" si="7"/>
        <v>#DIV/0!</v>
      </c>
      <c r="J205" s="14">
        <f>'Seleção dos Fornecedores'!M205</f>
        <v>0</v>
      </c>
      <c r="K205" s="14"/>
      <c r="L205" s="23" t="e">
        <f t="shared" si="8"/>
        <v>#DIV/0!</v>
      </c>
      <c r="M205" s="23"/>
    </row>
    <row r="206" spans="2:13" x14ac:dyDescent="0.3">
      <c r="B206" s="51">
        <f>'Seleção dos Fornecedores'!B206</f>
        <v>201</v>
      </c>
      <c r="C206" s="14">
        <f>'Critérios de Seleção de Fornece'!C206</f>
        <v>0</v>
      </c>
      <c r="D206" s="14"/>
      <c r="E206" s="14"/>
      <c r="F206" s="14"/>
      <c r="G206" s="14"/>
      <c r="H206" s="14"/>
      <c r="I206" s="52" t="e">
        <f t="shared" si="7"/>
        <v>#DIV/0!</v>
      </c>
      <c r="J206" s="14">
        <f>'Seleção dos Fornecedores'!M206</f>
        <v>0</v>
      </c>
      <c r="K206" s="14"/>
      <c r="L206" s="23" t="e">
        <f t="shared" si="8"/>
        <v>#DIV/0!</v>
      </c>
      <c r="M206" s="23"/>
    </row>
    <row r="207" spans="2:13" x14ac:dyDescent="0.3">
      <c r="B207" s="51">
        <f>'Seleção dos Fornecedores'!B207</f>
        <v>202</v>
      </c>
      <c r="C207" s="14">
        <f>'Critérios de Seleção de Fornece'!C207</f>
        <v>0</v>
      </c>
      <c r="D207" s="14"/>
      <c r="E207" s="14"/>
      <c r="F207" s="14"/>
      <c r="G207" s="14"/>
      <c r="H207" s="14"/>
      <c r="I207" s="52" t="e">
        <f t="shared" si="7"/>
        <v>#DIV/0!</v>
      </c>
      <c r="J207" s="14">
        <f>'Seleção dos Fornecedores'!M207</f>
        <v>0</v>
      </c>
      <c r="K207" s="14"/>
      <c r="L207" s="23" t="e">
        <f t="shared" si="8"/>
        <v>#DIV/0!</v>
      </c>
      <c r="M207" s="23"/>
    </row>
  </sheetData>
  <mergeCells count="10">
    <mergeCell ref="C2:M2"/>
    <mergeCell ref="O10:S11"/>
    <mergeCell ref="O5:P5"/>
    <mergeCell ref="R5:S5"/>
    <mergeCell ref="I4:K4"/>
    <mergeCell ref="B4:C4"/>
    <mergeCell ref="D4:F4"/>
    <mergeCell ref="G4:G5"/>
    <mergeCell ref="H4:H5"/>
    <mergeCell ref="L4:M4"/>
  </mergeCells>
  <conditionalFormatting sqref="M6:M207">
    <cfRule type="containsText" dxfId="9" priority="1" operator="containsText" text="Aprovado">
      <formula>NOT(ISERROR(SEARCH("Aprovado",M6)))</formula>
    </cfRule>
    <cfRule type="containsText" dxfId="8" priority="2" operator="containsText" text="Reprovado">
      <formula>NOT(ISERROR(SEARCH("Reprovado",M6)))</formula>
    </cfRule>
    <cfRule type="containsText" dxfId="7" priority="3" operator="containsText" text="Na Média">
      <formula>NOT(ISERROR(SEARCH("Na Média",M6)))</formula>
    </cfRule>
  </conditionalFormatting>
  <pageMargins left="0.25" right="0.25" top="0.75" bottom="0.75" header="0.3" footer="0.3"/>
  <pageSetup paperSize="66" orientation="landscape" r:id="rId1"/>
  <headerFooter>
    <oddFooter>&amp;L&amp;"Cambria,Normal"&amp;10MOD 8.1.4 Avaliação dos Fornecedores&amp;C&amp;"Cambria,Normal"&amp;10&amp;P de &amp;N&amp;R&amp;"Cambria,Normal"&amp;10R00 &amp;D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F7343"/>
    <pageSetUpPr fitToPage="1"/>
  </sheetPr>
  <dimension ref="B1:F62"/>
  <sheetViews>
    <sheetView showGridLines="0" topLeftCell="A8" workbookViewId="0"/>
  </sheetViews>
  <sheetFormatPr defaultRowHeight="14.4" x14ac:dyDescent="0.3"/>
  <cols>
    <col min="1" max="1" width="0.77734375" customWidth="1"/>
    <col min="2" max="2" width="12.44140625" customWidth="1"/>
    <col min="3" max="3" width="27" customWidth="1"/>
    <col min="4" max="4" width="19" customWidth="1"/>
    <col min="5" max="5" width="52" customWidth="1"/>
    <col min="6" max="6" width="64" customWidth="1"/>
  </cols>
  <sheetData>
    <row r="1" spans="2:6" ht="33" customHeight="1" x14ac:dyDescent="0.3">
      <c r="C1" s="82" t="s">
        <v>215</v>
      </c>
      <c r="D1" s="69"/>
      <c r="E1" s="69"/>
      <c r="F1" s="69"/>
    </row>
    <row r="2" spans="2:6" ht="33" customHeight="1" x14ac:dyDescent="0.3">
      <c r="C2" s="69"/>
      <c r="D2" s="69"/>
      <c r="E2" s="69"/>
      <c r="F2" s="69"/>
    </row>
    <row r="3" spans="2:6" ht="30" customHeight="1" x14ac:dyDescent="0.3">
      <c r="B3" s="73" t="s">
        <v>216</v>
      </c>
      <c r="C3" s="69"/>
      <c r="D3" s="69"/>
      <c r="E3" s="69"/>
      <c r="F3" s="69"/>
    </row>
    <row r="5" spans="2:6" ht="24" customHeight="1" x14ac:dyDescent="0.3">
      <c r="B5" s="83" t="s">
        <v>114</v>
      </c>
      <c r="C5" s="69"/>
      <c r="D5" s="69"/>
      <c r="E5" s="69"/>
      <c r="F5" s="69"/>
    </row>
    <row r="6" spans="2:6" ht="23.1" customHeight="1" x14ac:dyDescent="0.3">
      <c r="B6" s="68" t="s">
        <v>217</v>
      </c>
      <c r="C6" s="69"/>
      <c r="D6" s="69"/>
      <c r="E6" s="69"/>
      <c r="F6" s="69"/>
    </row>
    <row r="7" spans="2:6" ht="38.4" customHeight="1" x14ac:dyDescent="0.3">
      <c r="B7" s="68" t="s">
        <v>218</v>
      </c>
      <c r="C7" s="69"/>
      <c r="D7" s="69"/>
      <c r="E7" s="69"/>
      <c r="F7" s="69"/>
    </row>
    <row r="8" spans="2:6" ht="23.1" customHeight="1" x14ac:dyDescent="0.3">
      <c r="B8" s="68" t="s">
        <v>219</v>
      </c>
      <c r="C8" s="69"/>
      <c r="D8" s="69"/>
      <c r="E8" s="69"/>
      <c r="F8" s="69"/>
    </row>
    <row r="9" spans="2:6" ht="10.050000000000001" customHeight="1" x14ac:dyDescent="0.3"/>
    <row r="10" spans="2:6" ht="24" customHeight="1" x14ac:dyDescent="0.3">
      <c r="B10" s="83" t="s">
        <v>118</v>
      </c>
      <c r="C10" s="69"/>
      <c r="D10" s="69"/>
      <c r="E10" s="69"/>
      <c r="F10" s="69"/>
    </row>
    <row r="11" spans="2:6" ht="23.1" customHeight="1" x14ac:dyDescent="0.3">
      <c r="B11" s="68" t="s">
        <v>119</v>
      </c>
      <c r="C11" s="69"/>
      <c r="D11" s="69"/>
      <c r="E11" s="69"/>
      <c r="F11" s="69"/>
    </row>
    <row r="12" spans="2:6" ht="23.25" customHeight="1" x14ac:dyDescent="0.3">
      <c r="B12" s="78" t="s">
        <v>120</v>
      </c>
      <c r="C12" s="71"/>
      <c r="D12" s="70" t="s">
        <v>121</v>
      </c>
      <c r="E12" s="71"/>
      <c r="F12" s="71"/>
    </row>
    <row r="13" spans="2:6" ht="38.4" customHeight="1" x14ac:dyDescent="0.3">
      <c r="B13" s="78" t="s">
        <v>122</v>
      </c>
      <c r="C13" s="71"/>
      <c r="D13" s="70" t="s">
        <v>123</v>
      </c>
      <c r="E13" s="71"/>
      <c r="F13" s="71"/>
    </row>
    <row r="14" spans="2:6" ht="23.25" customHeight="1" x14ac:dyDescent="0.3">
      <c r="B14" s="78" t="s">
        <v>220</v>
      </c>
      <c r="C14" s="71"/>
      <c r="D14" s="70" t="s">
        <v>125</v>
      </c>
      <c r="E14" s="71"/>
      <c r="F14" s="71"/>
    </row>
    <row r="15" spans="2:6" ht="38.4" customHeight="1" x14ac:dyDescent="0.3">
      <c r="B15" s="80" t="s">
        <v>221</v>
      </c>
      <c r="C15" s="71"/>
      <c r="D15" s="70" t="s">
        <v>127</v>
      </c>
      <c r="E15" s="71"/>
      <c r="F15" s="71"/>
    </row>
    <row r="16" spans="2:6" ht="10.050000000000001" customHeight="1" x14ac:dyDescent="0.3"/>
    <row r="17" spans="2:6" ht="53.55" customHeight="1" x14ac:dyDescent="0.3">
      <c r="B17" s="81" t="s">
        <v>128</v>
      </c>
      <c r="C17" s="69"/>
      <c r="D17" s="69"/>
      <c r="E17" s="69"/>
      <c r="F17" s="69"/>
    </row>
    <row r="18" spans="2:6" ht="10.050000000000001" customHeight="1" x14ac:dyDescent="0.3"/>
    <row r="19" spans="2:6" ht="24" customHeight="1" x14ac:dyDescent="0.3">
      <c r="B19" s="83" t="s">
        <v>129</v>
      </c>
      <c r="C19" s="69"/>
      <c r="D19" s="69"/>
      <c r="E19" s="69"/>
      <c r="F19" s="69"/>
    </row>
    <row r="20" spans="2:6" ht="23.25" customHeight="1" x14ac:dyDescent="0.3">
      <c r="B20" s="80" t="s">
        <v>130</v>
      </c>
      <c r="C20" s="71"/>
      <c r="D20" s="70" t="s">
        <v>131</v>
      </c>
      <c r="E20" s="71"/>
      <c r="F20" s="71"/>
    </row>
    <row r="21" spans="2:6" ht="23.25" customHeight="1" x14ac:dyDescent="0.3">
      <c r="B21" s="79" t="s">
        <v>132</v>
      </c>
      <c r="C21" s="71"/>
      <c r="D21" s="70" t="s">
        <v>133</v>
      </c>
      <c r="E21" s="71"/>
      <c r="F21" s="71"/>
    </row>
    <row r="22" spans="2:6" ht="23.25" customHeight="1" x14ac:dyDescent="0.3">
      <c r="B22" s="75" t="s">
        <v>134</v>
      </c>
      <c r="C22" s="71"/>
      <c r="D22" s="70" t="s">
        <v>135</v>
      </c>
      <c r="E22" s="71"/>
      <c r="F22" s="71"/>
    </row>
    <row r="23" spans="2:6" ht="10.050000000000001" customHeight="1" x14ac:dyDescent="0.3"/>
    <row r="24" spans="2:6" ht="24" customHeight="1" x14ac:dyDescent="0.3">
      <c r="B24" s="83" t="s">
        <v>136</v>
      </c>
      <c r="C24" s="69"/>
      <c r="D24" s="69"/>
      <c r="E24" s="69"/>
      <c r="F24" s="69"/>
    </row>
    <row r="25" spans="2:6" ht="30" customHeight="1" x14ac:dyDescent="0.3">
      <c r="B25" s="61" t="s">
        <v>137</v>
      </c>
      <c r="C25" s="61" t="s">
        <v>138</v>
      </c>
      <c r="D25" s="61" t="s">
        <v>139</v>
      </c>
      <c r="E25" s="61" t="s">
        <v>140</v>
      </c>
      <c r="F25" s="61" t="s">
        <v>184</v>
      </c>
    </row>
    <row r="26" spans="2:6" ht="53.55" customHeight="1" x14ac:dyDescent="0.3">
      <c r="B26" s="56" t="s">
        <v>142</v>
      </c>
      <c r="C26" s="57" t="s">
        <v>54</v>
      </c>
      <c r="D26" s="60" t="s">
        <v>126</v>
      </c>
      <c r="E26" s="54" t="s">
        <v>222</v>
      </c>
      <c r="F26" s="54" t="s">
        <v>223</v>
      </c>
    </row>
    <row r="27" spans="2:6" ht="23.25" customHeight="1" x14ac:dyDescent="0.3">
      <c r="B27" s="56" t="s">
        <v>145</v>
      </c>
      <c r="C27" s="57" t="s">
        <v>224</v>
      </c>
      <c r="D27" s="60" t="s">
        <v>126</v>
      </c>
      <c r="E27" s="54" t="s">
        <v>225</v>
      </c>
      <c r="F27" s="54" t="s">
        <v>226</v>
      </c>
    </row>
    <row r="28" spans="2:6" ht="23.25" customHeight="1" x14ac:dyDescent="0.3">
      <c r="B28" s="56" t="s">
        <v>148</v>
      </c>
      <c r="C28" s="57" t="s">
        <v>55</v>
      </c>
      <c r="D28" s="60" t="s">
        <v>126</v>
      </c>
      <c r="E28" s="54" t="s">
        <v>227</v>
      </c>
      <c r="F28" s="54" t="s">
        <v>228</v>
      </c>
    </row>
    <row r="29" spans="2:6" ht="38.4" customHeight="1" x14ac:dyDescent="0.3">
      <c r="B29" s="56" t="s">
        <v>151</v>
      </c>
      <c r="C29" s="57" t="s">
        <v>17</v>
      </c>
      <c r="D29" s="60" t="s">
        <v>126</v>
      </c>
      <c r="E29" s="54" t="s">
        <v>229</v>
      </c>
      <c r="F29" s="54" t="s">
        <v>230</v>
      </c>
    </row>
    <row r="30" spans="2:6" ht="53.55" customHeight="1" x14ac:dyDescent="0.3">
      <c r="B30" s="56" t="s">
        <v>231</v>
      </c>
      <c r="C30" s="57" t="s">
        <v>82</v>
      </c>
      <c r="D30" s="60" t="s">
        <v>126</v>
      </c>
      <c r="E30" s="54" t="s">
        <v>232</v>
      </c>
      <c r="F30" s="54" t="s">
        <v>233</v>
      </c>
    </row>
    <row r="31" spans="2:6" ht="10.050000000000001" customHeight="1" x14ac:dyDescent="0.3"/>
    <row r="32" spans="2:6" ht="24" customHeight="1" x14ac:dyDescent="0.3">
      <c r="B32" s="83" t="s">
        <v>234</v>
      </c>
      <c r="C32" s="69"/>
      <c r="D32" s="69"/>
      <c r="E32" s="69"/>
      <c r="F32" s="69"/>
    </row>
    <row r="33" spans="2:6" ht="30" customHeight="1" x14ac:dyDescent="0.3">
      <c r="B33" s="61" t="s">
        <v>235</v>
      </c>
      <c r="C33" s="61" t="s">
        <v>236</v>
      </c>
      <c r="D33" s="61" t="s">
        <v>139</v>
      </c>
      <c r="E33" s="61" t="s">
        <v>137</v>
      </c>
      <c r="F33" s="61" t="s">
        <v>237</v>
      </c>
    </row>
    <row r="34" spans="2:6" ht="23.25" customHeight="1" x14ac:dyDescent="0.3">
      <c r="B34" s="56" t="s">
        <v>238</v>
      </c>
      <c r="C34" s="57" t="s">
        <v>19</v>
      </c>
      <c r="D34" s="60" t="s">
        <v>126</v>
      </c>
      <c r="E34" s="54" t="s">
        <v>239</v>
      </c>
      <c r="F34" s="54" t="s">
        <v>240</v>
      </c>
    </row>
    <row r="35" spans="2:6" ht="23.25" customHeight="1" x14ac:dyDescent="0.3">
      <c r="B35" s="56" t="s">
        <v>241</v>
      </c>
      <c r="C35" s="57" t="s">
        <v>6</v>
      </c>
      <c r="D35" s="60" t="s">
        <v>126</v>
      </c>
      <c r="E35" s="54" t="s">
        <v>242</v>
      </c>
      <c r="F35" s="54" t="s">
        <v>240</v>
      </c>
    </row>
    <row r="36" spans="2:6" ht="23.25" customHeight="1" x14ac:dyDescent="0.3">
      <c r="B36" s="56" t="s">
        <v>243</v>
      </c>
      <c r="C36" s="57" t="s">
        <v>7</v>
      </c>
      <c r="D36" s="60" t="s">
        <v>126</v>
      </c>
      <c r="E36" s="54" t="s">
        <v>244</v>
      </c>
      <c r="F36" s="54" t="s">
        <v>240</v>
      </c>
    </row>
    <row r="37" spans="2:6" ht="23.25" customHeight="1" x14ac:dyDescent="0.3">
      <c r="B37" s="56" t="s">
        <v>245</v>
      </c>
      <c r="C37" s="57" t="s">
        <v>78</v>
      </c>
      <c r="D37" s="60" t="s">
        <v>126</v>
      </c>
      <c r="E37" s="54" t="s">
        <v>246</v>
      </c>
      <c r="F37" s="54" t="s">
        <v>240</v>
      </c>
    </row>
    <row r="38" spans="2:6" ht="23.25" customHeight="1" x14ac:dyDescent="0.3">
      <c r="B38" s="56" t="s">
        <v>247</v>
      </c>
      <c r="C38" s="57" t="s">
        <v>65</v>
      </c>
      <c r="D38" s="60" t="s">
        <v>126</v>
      </c>
      <c r="E38" s="54" t="s">
        <v>248</v>
      </c>
      <c r="F38" s="54" t="s">
        <v>240</v>
      </c>
    </row>
    <row r="39" spans="2:6" ht="38.4" customHeight="1" x14ac:dyDescent="0.3">
      <c r="B39" s="56" t="s">
        <v>249</v>
      </c>
      <c r="C39" s="57" t="s">
        <v>13</v>
      </c>
      <c r="D39" s="60" t="s">
        <v>126</v>
      </c>
      <c r="E39" s="54" t="s">
        <v>250</v>
      </c>
      <c r="F39" s="54" t="s">
        <v>251</v>
      </c>
    </row>
    <row r="40" spans="2:6" ht="38.4" customHeight="1" x14ac:dyDescent="0.3">
      <c r="B40" s="56" t="s">
        <v>252</v>
      </c>
      <c r="C40" s="57" t="s">
        <v>12</v>
      </c>
      <c r="D40" s="60" t="s">
        <v>126</v>
      </c>
      <c r="E40" s="54" t="s">
        <v>253</v>
      </c>
      <c r="F40" s="54" t="s">
        <v>254</v>
      </c>
    </row>
    <row r="41" spans="2:6" ht="10.050000000000001" customHeight="1" x14ac:dyDescent="0.3"/>
    <row r="42" spans="2:6" ht="24" customHeight="1" x14ac:dyDescent="0.3">
      <c r="B42" s="83" t="s">
        <v>195</v>
      </c>
      <c r="C42" s="69"/>
      <c r="D42" s="69"/>
      <c r="E42" s="69"/>
      <c r="F42" s="69"/>
    </row>
    <row r="43" spans="2:6" ht="23.1" customHeight="1" x14ac:dyDescent="0.3">
      <c r="B43" s="68" t="s">
        <v>255</v>
      </c>
      <c r="C43" s="69"/>
      <c r="D43" s="69"/>
      <c r="E43" s="69"/>
      <c r="F43" s="69"/>
    </row>
    <row r="44" spans="2:6" ht="23.1" customHeight="1" x14ac:dyDescent="0.3">
      <c r="B44" s="68" t="s">
        <v>256</v>
      </c>
      <c r="C44" s="69"/>
      <c r="D44" s="69"/>
      <c r="E44" s="69"/>
      <c r="F44" s="69"/>
    </row>
    <row r="45" spans="2:6" ht="23.1" customHeight="1" x14ac:dyDescent="0.3">
      <c r="B45" s="68" t="s">
        <v>257</v>
      </c>
      <c r="C45" s="69"/>
      <c r="D45" s="69"/>
      <c r="E45" s="69"/>
      <c r="F45" s="69"/>
    </row>
    <row r="46" spans="2:6" ht="23.1" customHeight="1" x14ac:dyDescent="0.3">
      <c r="B46" s="68" t="s">
        <v>258</v>
      </c>
      <c r="C46" s="69"/>
      <c r="D46" s="69"/>
      <c r="E46" s="69"/>
      <c r="F46" s="69"/>
    </row>
    <row r="47" spans="2:6" ht="23.1" customHeight="1" x14ac:dyDescent="0.3">
      <c r="B47" s="68" t="s">
        <v>259</v>
      </c>
      <c r="C47" s="69"/>
      <c r="D47" s="69"/>
      <c r="E47" s="69"/>
      <c r="F47" s="69"/>
    </row>
    <row r="48" spans="2:6" ht="23.1" customHeight="1" x14ac:dyDescent="0.3">
      <c r="B48" s="68" t="s">
        <v>260</v>
      </c>
      <c r="C48" s="69"/>
      <c r="D48" s="69"/>
      <c r="E48" s="69"/>
      <c r="F48" s="69"/>
    </row>
    <row r="49" spans="2:6" ht="10.050000000000001" customHeight="1" x14ac:dyDescent="0.3"/>
    <row r="50" spans="2:6" ht="24" customHeight="1" x14ac:dyDescent="0.3">
      <c r="B50" s="83" t="s">
        <v>261</v>
      </c>
      <c r="C50" s="69"/>
      <c r="D50" s="69"/>
      <c r="E50" s="69"/>
      <c r="F50" s="69"/>
    </row>
    <row r="51" spans="2:6" ht="38.4" customHeight="1" x14ac:dyDescent="0.3">
      <c r="B51" s="74" t="s">
        <v>262</v>
      </c>
      <c r="C51" s="69"/>
      <c r="D51" s="69"/>
      <c r="E51" s="69"/>
      <c r="F51" s="69"/>
    </row>
    <row r="52" spans="2:6" ht="10.050000000000001" customHeight="1" x14ac:dyDescent="0.3"/>
    <row r="53" spans="2:6" ht="24" customHeight="1" x14ac:dyDescent="0.3">
      <c r="B53" s="83" t="s">
        <v>205</v>
      </c>
      <c r="C53" s="69"/>
      <c r="D53" s="69"/>
      <c r="E53" s="69"/>
      <c r="F53" s="69"/>
    </row>
    <row r="54" spans="2:6" ht="27.3" customHeight="1" x14ac:dyDescent="0.3">
      <c r="B54" s="77" t="s">
        <v>206</v>
      </c>
      <c r="C54" s="69"/>
      <c r="D54" s="69"/>
      <c r="E54" s="69"/>
      <c r="F54" s="69"/>
    </row>
    <row r="55" spans="2:6" ht="38.4" customHeight="1" x14ac:dyDescent="0.3">
      <c r="B55" s="74" t="s">
        <v>207</v>
      </c>
      <c r="C55" s="69"/>
      <c r="D55" s="69"/>
      <c r="E55" s="69"/>
      <c r="F55" s="69"/>
    </row>
    <row r="56" spans="2:6" ht="23.1" customHeight="1" x14ac:dyDescent="0.3">
      <c r="B56" s="68" t="s">
        <v>208</v>
      </c>
      <c r="C56" s="69"/>
      <c r="D56" s="69"/>
      <c r="E56" s="69"/>
      <c r="F56" s="69"/>
    </row>
    <row r="57" spans="2:6" ht="23.1" customHeight="1" x14ac:dyDescent="0.3">
      <c r="B57" s="68" t="s">
        <v>209</v>
      </c>
      <c r="C57" s="69"/>
      <c r="D57" s="69"/>
      <c r="E57" s="69"/>
      <c r="F57" s="69"/>
    </row>
    <row r="58" spans="2:6" ht="23.1" customHeight="1" x14ac:dyDescent="0.3">
      <c r="B58" s="68" t="s">
        <v>210</v>
      </c>
      <c r="C58" s="69"/>
      <c r="D58" s="69"/>
      <c r="E58" s="69"/>
      <c r="F58" s="69"/>
    </row>
    <row r="59" spans="2:6" ht="23.1" customHeight="1" x14ac:dyDescent="0.3">
      <c r="B59" s="68" t="s">
        <v>211</v>
      </c>
      <c r="C59" s="69"/>
      <c r="D59" s="69"/>
      <c r="E59" s="69"/>
      <c r="F59" s="69"/>
    </row>
    <row r="60" spans="2:6" ht="23.1" customHeight="1" x14ac:dyDescent="0.3">
      <c r="B60" s="68" t="s">
        <v>212</v>
      </c>
      <c r="C60" s="69"/>
      <c r="D60" s="69"/>
      <c r="E60" s="69"/>
      <c r="F60" s="69"/>
    </row>
    <row r="61" spans="2:6" ht="23.1" customHeight="1" x14ac:dyDescent="0.3">
      <c r="B61" s="68" t="s">
        <v>213</v>
      </c>
      <c r="C61" s="69"/>
      <c r="D61" s="69"/>
      <c r="E61" s="69"/>
      <c r="F61" s="69"/>
    </row>
    <row r="62" spans="2:6" ht="10.050000000000001" customHeight="1" x14ac:dyDescent="0.3"/>
  </sheetData>
  <sheetProtection sheet="1"/>
  <mergeCells count="44">
    <mergeCell ref="B60:F60"/>
    <mergeCell ref="B14:C14"/>
    <mergeCell ref="B61:F61"/>
    <mergeCell ref="B8:F8"/>
    <mergeCell ref="B17:F17"/>
    <mergeCell ref="D15:F15"/>
    <mergeCell ref="B57:F57"/>
    <mergeCell ref="B13:C13"/>
    <mergeCell ref="B44:F44"/>
    <mergeCell ref="B53:F53"/>
    <mergeCell ref="D14:F14"/>
    <mergeCell ref="B32:F32"/>
    <mergeCell ref="B10:F10"/>
    <mergeCell ref="B19:F19"/>
    <mergeCell ref="D20:F20"/>
    <mergeCell ref="B55:F55"/>
    <mergeCell ref="B59:F59"/>
    <mergeCell ref="B22:C22"/>
    <mergeCell ref="B46:F46"/>
    <mergeCell ref="C1:F2"/>
    <mergeCell ref="B56:F56"/>
    <mergeCell ref="B58:F58"/>
    <mergeCell ref="B12:C12"/>
    <mergeCell ref="B43:F43"/>
    <mergeCell ref="B21:C21"/>
    <mergeCell ref="B48:F48"/>
    <mergeCell ref="B11:F11"/>
    <mergeCell ref="B42:F42"/>
    <mergeCell ref="D12:F12"/>
    <mergeCell ref="B6:F6"/>
    <mergeCell ref="B15:C15"/>
    <mergeCell ref="B24:F24"/>
    <mergeCell ref="B7:F7"/>
    <mergeCell ref="D13:F13"/>
    <mergeCell ref="B47:F47"/>
    <mergeCell ref="B54:F54"/>
    <mergeCell ref="B3:F3"/>
    <mergeCell ref="B20:C20"/>
    <mergeCell ref="D22:F22"/>
    <mergeCell ref="B5:F5"/>
    <mergeCell ref="B51:F51"/>
    <mergeCell ref="B45:F45"/>
    <mergeCell ref="D21:F21"/>
    <mergeCell ref="B50:F50"/>
  </mergeCells>
  <printOptions horizontalCentered="1"/>
  <pageMargins left="0.4" right="0.4" top="1" bottom="1" header="0.5" footer="0.5"/>
  <pageSetup paperSize="9"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A2A05-DFEE-41AB-82EA-F6C003968196}">
  <dimension ref="B1:L27"/>
  <sheetViews>
    <sheetView showGridLines="0" zoomScaleNormal="100" workbookViewId="0">
      <selection activeCell="E19" sqref="E19"/>
    </sheetView>
  </sheetViews>
  <sheetFormatPr defaultRowHeight="14.4" x14ac:dyDescent="0.3"/>
  <cols>
    <col min="1" max="1" width="0.77734375" customWidth="1"/>
    <col min="2" max="3" width="16" customWidth="1"/>
    <col min="4" max="4" width="16.33203125" customWidth="1"/>
    <col min="5" max="5" width="122.88671875" style="43" customWidth="1"/>
  </cols>
  <sheetData>
    <row r="1" spans="2:12" ht="6.6" customHeight="1" x14ac:dyDescent="0.3"/>
    <row r="2" spans="2:12" ht="44.4" customHeight="1" x14ac:dyDescent="0.3">
      <c r="C2" s="87" t="s">
        <v>84</v>
      </c>
      <c r="D2" s="87"/>
      <c r="E2" s="87"/>
      <c r="F2" s="2"/>
      <c r="G2" s="2"/>
      <c r="H2" s="2"/>
      <c r="I2" s="2"/>
      <c r="J2" s="2"/>
      <c r="K2" s="2"/>
      <c r="L2" s="2"/>
    </row>
    <row r="3" spans="2:12" ht="3.6" customHeight="1" thickBot="1" x14ac:dyDescent="0.35"/>
    <row r="4" spans="2:12" ht="15.6" thickBot="1" x14ac:dyDescent="0.35">
      <c r="B4" s="40" t="s">
        <v>54</v>
      </c>
      <c r="C4" s="40" t="s">
        <v>40</v>
      </c>
      <c r="D4" s="40" t="s">
        <v>55</v>
      </c>
      <c r="E4" s="41" t="s">
        <v>17</v>
      </c>
    </row>
    <row r="5" spans="2:12" x14ac:dyDescent="0.3">
      <c r="B5" s="88" t="s">
        <v>19</v>
      </c>
      <c r="C5" s="6">
        <v>3</v>
      </c>
      <c r="D5" s="6" t="s">
        <v>56</v>
      </c>
      <c r="E5" s="44" t="s">
        <v>57</v>
      </c>
    </row>
    <row r="6" spans="2:12" x14ac:dyDescent="0.3">
      <c r="B6" s="89"/>
      <c r="C6" s="3">
        <v>2</v>
      </c>
      <c r="D6" s="3" t="s">
        <v>58</v>
      </c>
      <c r="E6" s="45" t="s">
        <v>59</v>
      </c>
    </row>
    <row r="7" spans="2:12" ht="15" thickBot="1" x14ac:dyDescent="0.35">
      <c r="B7" s="90"/>
      <c r="C7" s="7">
        <v>1</v>
      </c>
      <c r="D7" s="7" t="s">
        <v>60</v>
      </c>
      <c r="E7" s="46" t="s">
        <v>61</v>
      </c>
    </row>
    <row r="8" spans="2:12" x14ac:dyDescent="0.3">
      <c r="B8" s="88" t="s">
        <v>7</v>
      </c>
      <c r="C8" s="6">
        <v>3</v>
      </c>
      <c r="D8" s="6" t="s">
        <v>56</v>
      </c>
      <c r="E8" s="44" t="s">
        <v>62</v>
      </c>
    </row>
    <row r="9" spans="2:12" x14ac:dyDescent="0.3">
      <c r="B9" s="89"/>
      <c r="C9" s="3">
        <v>2</v>
      </c>
      <c r="D9" s="3" t="s">
        <v>58</v>
      </c>
      <c r="E9" s="45" t="s">
        <v>63</v>
      </c>
    </row>
    <row r="10" spans="2:12" ht="28.2" thickBot="1" x14ac:dyDescent="0.35">
      <c r="B10" s="90"/>
      <c r="C10" s="7">
        <v>1</v>
      </c>
      <c r="D10" s="7" t="s">
        <v>60</v>
      </c>
      <c r="E10" s="46" t="s">
        <v>64</v>
      </c>
    </row>
    <row r="11" spans="2:12" x14ac:dyDescent="0.3">
      <c r="B11" s="88" t="s">
        <v>65</v>
      </c>
      <c r="C11" s="6">
        <v>3</v>
      </c>
      <c r="D11" s="6" t="s">
        <v>56</v>
      </c>
      <c r="E11" s="44" t="s">
        <v>66</v>
      </c>
    </row>
    <row r="12" spans="2:12" x14ac:dyDescent="0.3">
      <c r="B12" s="89"/>
      <c r="C12" s="3">
        <v>2</v>
      </c>
      <c r="D12" s="3" t="s">
        <v>58</v>
      </c>
      <c r="E12" s="45" t="s">
        <v>67</v>
      </c>
    </row>
    <row r="13" spans="2:12" ht="15" thickBot="1" x14ac:dyDescent="0.35">
      <c r="B13" s="90"/>
      <c r="C13" s="7">
        <v>1</v>
      </c>
      <c r="D13" s="7" t="s">
        <v>60</v>
      </c>
      <c r="E13" s="46" t="s">
        <v>68</v>
      </c>
    </row>
    <row r="14" spans="2:12" x14ac:dyDescent="0.3">
      <c r="B14" s="88" t="s">
        <v>13</v>
      </c>
      <c r="C14" s="6">
        <v>3</v>
      </c>
      <c r="D14" s="6" t="s">
        <v>56</v>
      </c>
      <c r="E14" s="44" t="s">
        <v>69</v>
      </c>
    </row>
    <row r="15" spans="2:12" x14ac:dyDescent="0.3">
      <c r="B15" s="89"/>
      <c r="C15" s="3">
        <v>2</v>
      </c>
      <c r="D15" s="3" t="s">
        <v>58</v>
      </c>
      <c r="E15" s="45" t="s">
        <v>70</v>
      </c>
    </row>
    <row r="16" spans="2:12" ht="15" thickBot="1" x14ac:dyDescent="0.35">
      <c r="B16" s="90"/>
      <c r="C16" s="7">
        <v>1</v>
      </c>
      <c r="D16" s="7" t="s">
        <v>60</v>
      </c>
      <c r="E16" s="46" t="s">
        <v>71</v>
      </c>
    </row>
    <row r="17" spans="2:5" ht="27.6" x14ac:dyDescent="0.3">
      <c r="B17" s="84" t="s">
        <v>6</v>
      </c>
      <c r="C17" s="6">
        <v>3</v>
      </c>
      <c r="D17" s="6" t="s">
        <v>56</v>
      </c>
      <c r="E17" s="44" t="s">
        <v>72</v>
      </c>
    </row>
    <row r="18" spans="2:5" x14ac:dyDescent="0.3">
      <c r="B18" s="85"/>
      <c r="C18" s="3">
        <v>2</v>
      </c>
      <c r="D18" s="3" t="s">
        <v>58</v>
      </c>
      <c r="E18" s="45" t="s">
        <v>73</v>
      </c>
    </row>
    <row r="19" spans="2:5" ht="15" thickBot="1" x14ac:dyDescent="0.35">
      <c r="B19" s="86"/>
      <c r="C19" s="7">
        <v>1</v>
      </c>
      <c r="D19" s="7" t="s">
        <v>60</v>
      </c>
      <c r="E19" s="46" t="s">
        <v>74</v>
      </c>
    </row>
    <row r="20" spans="2:5" x14ac:dyDescent="0.3">
      <c r="B20" s="84" t="s">
        <v>12</v>
      </c>
      <c r="C20" s="6">
        <v>3</v>
      </c>
      <c r="D20" s="6" t="s">
        <v>56</v>
      </c>
      <c r="E20" s="44" t="s">
        <v>75</v>
      </c>
    </row>
    <row r="21" spans="2:5" x14ac:dyDescent="0.3">
      <c r="B21" s="85"/>
      <c r="C21" s="3">
        <v>2</v>
      </c>
      <c r="D21" s="3" t="s">
        <v>58</v>
      </c>
      <c r="E21" s="45" t="s">
        <v>76</v>
      </c>
    </row>
    <row r="22" spans="2:5" ht="15" thickBot="1" x14ac:dyDescent="0.35">
      <c r="B22" s="86"/>
      <c r="C22" s="7">
        <v>1</v>
      </c>
      <c r="D22" s="7" t="s">
        <v>60</v>
      </c>
      <c r="E22" s="46" t="s">
        <v>77</v>
      </c>
    </row>
    <row r="23" spans="2:5" x14ac:dyDescent="0.3">
      <c r="B23" s="84" t="s">
        <v>78</v>
      </c>
      <c r="C23" s="6">
        <v>3</v>
      </c>
      <c r="D23" s="6" t="s">
        <v>56</v>
      </c>
      <c r="E23" s="44" t="s">
        <v>79</v>
      </c>
    </row>
    <row r="24" spans="2:5" x14ac:dyDescent="0.3">
      <c r="B24" s="85"/>
      <c r="C24" s="3">
        <v>2</v>
      </c>
      <c r="D24" s="3" t="s">
        <v>58</v>
      </c>
      <c r="E24" s="45" t="s">
        <v>80</v>
      </c>
    </row>
    <row r="25" spans="2:5" ht="15" thickBot="1" x14ac:dyDescent="0.35">
      <c r="B25" s="86"/>
      <c r="C25" s="7">
        <v>1</v>
      </c>
      <c r="D25" s="7" t="s">
        <v>60</v>
      </c>
      <c r="E25" s="46" t="s">
        <v>81</v>
      </c>
    </row>
    <row r="26" spans="2:5" ht="3.6" customHeight="1" x14ac:dyDescent="0.3">
      <c r="B26" s="1"/>
      <c r="C26" s="1"/>
      <c r="D26" s="1"/>
      <c r="E26" s="47"/>
    </row>
    <row r="27" spans="2:5" ht="32.4" x14ac:dyDescent="0.3">
      <c r="B27" s="1"/>
      <c r="C27" s="1"/>
      <c r="D27" s="4" t="s">
        <v>82</v>
      </c>
      <c r="E27" s="5" t="s">
        <v>83</v>
      </c>
    </row>
  </sheetData>
  <mergeCells count="8">
    <mergeCell ref="B23:B25"/>
    <mergeCell ref="C2:E2"/>
    <mergeCell ref="B5:B7"/>
    <mergeCell ref="B8:B10"/>
    <mergeCell ref="B11:B13"/>
    <mergeCell ref="B14:B16"/>
    <mergeCell ref="B17:B19"/>
    <mergeCell ref="B20:B22"/>
  </mergeCells>
  <pageMargins left="0.7" right="0.7" top="0.75" bottom="0.75" header="0.3" footer="0.3"/>
  <pageSetup paperSize="8" orientation="portrait" r:id="rId1"/>
  <headerFooter>
    <oddFooter>&amp;LMOD 8.1.4 Critérios de Análise&amp;C&amp;P de &amp;N&amp;RR0 00 &amp;D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F7343"/>
    <pageSetUpPr fitToPage="1"/>
  </sheetPr>
  <dimension ref="B1:F70"/>
  <sheetViews>
    <sheetView showGridLines="0" workbookViewId="0"/>
  </sheetViews>
  <sheetFormatPr defaultRowHeight="14.4" x14ac:dyDescent="0.3"/>
  <cols>
    <col min="1" max="1" width="0.77734375" customWidth="1"/>
    <col min="2" max="2" width="12.44140625" customWidth="1"/>
    <col min="3" max="3" width="27" customWidth="1"/>
    <col min="4" max="4" width="19" customWidth="1"/>
    <col min="5" max="5" width="52" customWidth="1"/>
    <col min="6" max="6" width="64" customWidth="1"/>
  </cols>
  <sheetData>
    <row r="1" spans="2:6" ht="33" customHeight="1" x14ac:dyDescent="0.3">
      <c r="C1" s="82" t="s">
        <v>263</v>
      </c>
      <c r="D1" s="69"/>
      <c r="E1" s="69"/>
      <c r="F1" s="69"/>
    </row>
    <row r="2" spans="2:6" ht="33" customHeight="1" x14ac:dyDescent="0.3">
      <c r="C2" s="69"/>
      <c r="D2" s="69"/>
      <c r="E2" s="69"/>
      <c r="F2" s="69"/>
    </row>
    <row r="3" spans="2:6" ht="30" customHeight="1" x14ac:dyDescent="0.3">
      <c r="B3" s="73" t="s">
        <v>264</v>
      </c>
      <c r="C3" s="69"/>
      <c r="D3" s="69"/>
      <c r="E3" s="69"/>
      <c r="F3" s="69"/>
    </row>
    <row r="5" spans="2:6" ht="24" customHeight="1" x14ac:dyDescent="0.3">
      <c r="B5" s="83" t="s">
        <v>114</v>
      </c>
      <c r="C5" s="69"/>
      <c r="D5" s="69"/>
      <c r="E5" s="69"/>
      <c r="F5" s="69"/>
    </row>
    <row r="6" spans="2:6" ht="38.4" customHeight="1" x14ac:dyDescent="0.3">
      <c r="B6" s="68" t="s">
        <v>265</v>
      </c>
      <c r="C6" s="69"/>
      <c r="D6" s="69"/>
      <c r="E6" s="69"/>
      <c r="F6" s="69"/>
    </row>
    <row r="7" spans="2:6" ht="38.4" customHeight="1" x14ac:dyDescent="0.3">
      <c r="B7" s="68" t="s">
        <v>266</v>
      </c>
      <c r="C7" s="69"/>
      <c r="D7" s="69"/>
      <c r="E7" s="69"/>
      <c r="F7" s="69"/>
    </row>
    <row r="8" spans="2:6" ht="10.050000000000001" customHeight="1" x14ac:dyDescent="0.3"/>
    <row r="9" spans="2:6" ht="24" customHeight="1" x14ac:dyDescent="0.3">
      <c r="B9" s="83" t="s">
        <v>118</v>
      </c>
      <c r="C9" s="69"/>
      <c r="D9" s="69"/>
      <c r="E9" s="69"/>
      <c r="F9" s="69"/>
    </row>
    <row r="10" spans="2:6" ht="23.1" customHeight="1" x14ac:dyDescent="0.3">
      <c r="B10" s="68" t="s">
        <v>119</v>
      </c>
      <c r="C10" s="69"/>
      <c r="D10" s="69"/>
      <c r="E10" s="69"/>
      <c r="F10" s="69"/>
    </row>
    <row r="11" spans="2:6" ht="23.25" customHeight="1" x14ac:dyDescent="0.3">
      <c r="B11" s="78" t="s">
        <v>120</v>
      </c>
      <c r="C11" s="71"/>
      <c r="D11" s="70" t="s">
        <v>121</v>
      </c>
      <c r="E11" s="71"/>
      <c r="F11" s="71"/>
    </row>
    <row r="12" spans="2:6" ht="38.4" customHeight="1" x14ac:dyDescent="0.3">
      <c r="B12" s="80" t="s">
        <v>267</v>
      </c>
      <c r="C12" s="71"/>
      <c r="D12" s="70" t="s">
        <v>123</v>
      </c>
      <c r="E12" s="71"/>
      <c r="F12" s="71"/>
    </row>
    <row r="13" spans="2:6" ht="23.25" customHeight="1" x14ac:dyDescent="0.3">
      <c r="B13" s="78" t="s">
        <v>220</v>
      </c>
      <c r="C13" s="71"/>
      <c r="D13" s="70" t="s">
        <v>125</v>
      </c>
      <c r="E13" s="71"/>
      <c r="F13" s="71"/>
    </row>
    <row r="14" spans="2:6" ht="38.4" customHeight="1" x14ac:dyDescent="0.3">
      <c r="B14" s="78" t="s">
        <v>126</v>
      </c>
      <c r="C14" s="71"/>
      <c r="D14" s="70" t="s">
        <v>127</v>
      </c>
      <c r="E14" s="71"/>
      <c r="F14" s="71"/>
    </row>
    <row r="15" spans="2:6" ht="10.050000000000001" customHeight="1" x14ac:dyDescent="0.3"/>
    <row r="16" spans="2:6" ht="53.55" customHeight="1" x14ac:dyDescent="0.3">
      <c r="B16" s="81" t="s">
        <v>128</v>
      </c>
      <c r="C16" s="69"/>
      <c r="D16" s="69"/>
      <c r="E16" s="69"/>
      <c r="F16" s="69"/>
    </row>
    <row r="17" spans="2:6" ht="10.050000000000001" customHeight="1" x14ac:dyDescent="0.3"/>
    <row r="18" spans="2:6" ht="24" customHeight="1" x14ac:dyDescent="0.3">
      <c r="B18" s="83" t="s">
        <v>129</v>
      </c>
      <c r="C18" s="69"/>
      <c r="D18" s="69"/>
      <c r="E18" s="69"/>
      <c r="F18" s="69"/>
    </row>
    <row r="19" spans="2:6" ht="23.25" customHeight="1" x14ac:dyDescent="0.3">
      <c r="B19" s="80" t="s">
        <v>130</v>
      </c>
      <c r="C19" s="71"/>
      <c r="D19" s="70" t="s">
        <v>131</v>
      </c>
      <c r="E19" s="71"/>
      <c r="F19" s="71"/>
    </row>
    <row r="20" spans="2:6" ht="23.25" customHeight="1" x14ac:dyDescent="0.3">
      <c r="B20" s="79" t="s">
        <v>132</v>
      </c>
      <c r="C20" s="71"/>
      <c r="D20" s="70" t="s">
        <v>133</v>
      </c>
      <c r="E20" s="71"/>
      <c r="F20" s="71"/>
    </row>
    <row r="21" spans="2:6" ht="23.25" customHeight="1" x14ac:dyDescent="0.3">
      <c r="B21" s="75" t="s">
        <v>134</v>
      </c>
      <c r="C21" s="71"/>
      <c r="D21" s="70" t="s">
        <v>135</v>
      </c>
      <c r="E21" s="71"/>
      <c r="F21" s="71"/>
    </row>
    <row r="22" spans="2:6" ht="10.050000000000001" customHeight="1" x14ac:dyDescent="0.3"/>
    <row r="23" spans="2:6" ht="24" customHeight="1" x14ac:dyDescent="0.3">
      <c r="B23" s="83" t="s">
        <v>136</v>
      </c>
      <c r="C23" s="69"/>
      <c r="D23" s="69"/>
      <c r="E23" s="69"/>
      <c r="F23" s="69"/>
    </row>
    <row r="24" spans="2:6" ht="30" customHeight="1" x14ac:dyDescent="0.3">
      <c r="B24" s="61" t="s">
        <v>137</v>
      </c>
      <c r="C24" s="61" t="s">
        <v>138</v>
      </c>
      <c r="D24" s="61" t="s">
        <v>139</v>
      </c>
      <c r="E24" s="61" t="s">
        <v>140</v>
      </c>
      <c r="F24" s="61" t="s">
        <v>141</v>
      </c>
    </row>
    <row r="25" spans="2:6" ht="38.4" customHeight="1" x14ac:dyDescent="0.3">
      <c r="B25" s="56" t="s">
        <v>142</v>
      </c>
      <c r="C25" s="57" t="s">
        <v>16</v>
      </c>
      <c r="D25" s="58" t="s">
        <v>132</v>
      </c>
      <c r="E25" s="54" t="s">
        <v>268</v>
      </c>
      <c r="F25" s="54" t="s">
        <v>269</v>
      </c>
    </row>
    <row r="26" spans="2:6" ht="53.55" customHeight="1" x14ac:dyDescent="0.3">
      <c r="B26" s="56" t="s">
        <v>145</v>
      </c>
      <c r="C26" s="57" t="s">
        <v>24</v>
      </c>
      <c r="D26" s="58" t="s">
        <v>132</v>
      </c>
      <c r="E26" s="54" t="s">
        <v>146</v>
      </c>
      <c r="F26" s="54" t="s">
        <v>270</v>
      </c>
    </row>
    <row r="27" spans="2:6" ht="38.4" customHeight="1" x14ac:dyDescent="0.3">
      <c r="B27" s="56" t="s">
        <v>148</v>
      </c>
      <c r="C27" s="57" t="s">
        <v>25</v>
      </c>
      <c r="D27" s="58" t="s">
        <v>132</v>
      </c>
      <c r="E27" s="54" t="s">
        <v>271</v>
      </c>
      <c r="F27" s="54" t="s">
        <v>272</v>
      </c>
    </row>
    <row r="28" spans="2:6" ht="38.4" customHeight="1" x14ac:dyDescent="0.3">
      <c r="B28" s="56" t="s">
        <v>151</v>
      </c>
      <c r="C28" s="57" t="s">
        <v>26</v>
      </c>
      <c r="D28" s="58" t="s">
        <v>132</v>
      </c>
      <c r="E28" s="54" t="s">
        <v>273</v>
      </c>
      <c r="F28" s="54" t="s">
        <v>274</v>
      </c>
    </row>
    <row r="29" spans="2:6" ht="38.4" customHeight="1" x14ac:dyDescent="0.3">
      <c r="B29" s="56" t="s">
        <v>154</v>
      </c>
      <c r="C29" s="57" t="s">
        <v>18</v>
      </c>
      <c r="D29" s="58" t="s">
        <v>132</v>
      </c>
      <c r="E29" s="54" t="s">
        <v>275</v>
      </c>
      <c r="F29" s="54" t="s">
        <v>276</v>
      </c>
    </row>
    <row r="30" spans="2:6" ht="38.4" customHeight="1" x14ac:dyDescent="0.3">
      <c r="B30" s="56" t="s">
        <v>157</v>
      </c>
      <c r="C30" s="57" t="s">
        <v>27</v>
      </c>
      <c r="D30" s="58" t="s">
        <v>132</v>
      </c>
      <c r="E30" s="54" t="s">
        <v>277</v>
      </c>
      <c r="F30" s="54" t="s">
        <v>278</v>
      </c>
    </row>
    <row r="31" spans="2:6" ht="38.4" customHeight="1" x14ac:dyDescent="0.3">
      <c r="B31" s="56" t="s">
        <v>160</v>
      </c>
      <c r="C31" s="57" t="s">
        <v>28</v>
      </c>
      <c r="D31" s="58" t="s">
        <v>132</v>
      </c>
      <c r="E31" s="54" t="s">
        <v>279</v>
      </c>
      <c r="F31" s="54" t="s">
        <v>280</v>
      </c>
    </row>
    <row r="32" spans="2:6" ht="38.4" customHeight="1" x14ac:dyDescent="0.3">
      <c r="B32" s="56" t="s">
        <v>163</v>
      </c>
      <c r="C32" s="57" t="s">
        <v>281</v>
      </c>
      <c r="D32" s="58" t="s">
        <v>132</v>
      </c>
      <c r="E32" s="54" t="s">
        <v>282</v>
      </c>
      <c r="F32" s="54" t="s">
        <v>283</v>
      </c>
    </row>
    <row r="33" spans="2:6" ht="38.4" customHeight="1" x14ac:dyDescent="0.3">
      <c r="B33" s="56" t="s">
        <v>166</v>
      </c>
      <c r="C33" s="57" t="s">
        <v>31</v>
      </c>
      <c r="D33" s="58" t="s">
        <v>132</v>
      </c>
      <c r="E33" s="54" t="s">
        <v>284</v>
      </c>
      <c r="F33" s="54" t="s">
        <v>285</v>
      </c>
    </row>
    <row r="34" spans="2:6" ht="38.4" customHeight="1" x14ac:dyDescent="0.3">
      <c r="B34" s="56" t="s">
        <v>169</v>
      </c>
      <c r="C34" s="57" t="s">
        <v>43</v>
      </c>
      <c r="D34" s="58" t="s">
        <v>132</v>
      </c>
      <c r="E34" s="54" t="s">
        <v>286</v>
      </c>
      <c r="F34" s="54" t="s">
        <v>287</v>
      </c>
    </row>
    <row r="35" spans="2:6" ht="53.55" customHeight="1" x14ac:dyDescent="0.3">
      <c r="B35" s="56" t="s">
        <v>172</v>
      </c>
      <c r="C35" s="57" t="s">
        <v>288</v>
      </c>
      <c r="D35" s="59" t="s">
        <v>130</v>
      </c>
      <c r="E35" s="54" t="s">
        <v>289</v>
      </c>
      <c r="F35" s="54" t="s">
        <v>290</v>
      </c>
    </row>
    <row r="36" spans="2:6" ht="53.55" customHeight="1" x14ac:dyDescent="0.3">
      <c r="B36" s="56" t="s">
        <v>176</v>
      </c>
      <c r="C36" s="57" t="s">
        <v>291</v>
      </c>
      <c r="D36" s="59" t="s">
        <v>130</v>
      </c>
      <c r="E36" s="54" t="s">
        <v>292</v>
      </c>
      <c r="F36" s="54" t="s">
        <v>293</v>
      </c>
    </row>
    <row r="37" spans="2:6" ht="99.15" customHeight="1" x14ac:dyDescent="0.3">
      <c r="B37" s="56" t="s">
        <v>294</v>
      </c>
      <c r="C37" s="57" t="s">
        <v>52</v>
      </c>
      <c r="D37" s="58" t="s">
        <v>132</v>
      </c>
      <c r="E37" s="54" t="s">
        <v>295</v>
      </c>
      <c r="F37" s="54" t="s">
        <v>296</v>
      </c>
    </row>
    <row r="38" spans="2:6" ht="99.15" customHeight="1" x14ac:dyDescent="0.3">
      <c r="B38" s="56" t="s">
        <v>297</v>
      </c>
      <c r="C38" s="57" t="s">
        <v>298</v>
      </c>
      <c r="D38" s="58" t="s">
        <v>132</v>
      </c>
      <c r="E38" s="54" t="s">
        <v>299</v>
      </c>
      <c r="F38" s="54" t="s">
        <v>300</v>
      </c>
    </row>
    <row r="39" spans="2:6" ht="68.849999999999994" customHeight="1" x14ac:dyDescent="0.3">
      <c r="B39" s="56" t="s">
        <v>301</v>
      </c>
      <c r="C39" s="57" t="s">
        <v>302</v>
      </c>
      <c r="D39" s="58" t="s">
        <v>132</v>
      </c>
      <c r="E39" s="54" t="s">
        <v>303</v>
      </c>
      <c r="F39" s="54" t="s">
        <v>304</v>
      </c>
    </row>
    <row r="40" spans="2:6" ht="38.4" customHeight="1" x14ac:dyDescent="0.3">
      <c r="B40" s="56" t="s">
        <v>305</v>
      </c>
      <c r="C40" s="57" t="s">
        <v>108</v>
      </c>
      <c r="D40" s="59" t="s">
        <v>130</v>
      </c>
      <c r="E40" s="54" t="s">
        <v>306</v>
      </c>
      <c r="F40" s="54" t="s">
        <v>307</v>
      </c>
    </row>
    <row r="41" spans="2:6" ht="10.050000000000001" customHeight="1" x14ac:dyDescent="0.3"/>
    <row r="42" spans="2:6" ht="24" customHeight="1" x14ac:dyDescent="0.3">
      <c r="B42" s="83" t="s">
        <v>308</v>
      </c>
      <c r="C42" s="69"/>
      <c r="D42" s="69"/>
      <c r="E42" s="69"/>
      <c r="F42" s="69"/>
    </row>
    <row r="43" spans="2:6" ht="30" customHeight="1" x14ac:dyDescent="0.3">
      <c r="B43" s="61" t="s">
        <v>181</v>
      </c>
      <c r="C43" s="61" t="s">
        <v>182</v>
      </c>
      <c r="D43" s="61" t="s">
        <v>139</v>
      </c>
      <c r="E43" s="61" t="s">
        <v>183</v>
      </c>
      <c r="F43" s="61" t="s">
        <v>309</v>
      </c>
    </row>
    <row r="44" spans="2:6" ht="38.4" customHeight="1" x14ac:dyDescent="0.3">
      <c r="B44" s="56" t="s">
        <v>310</v>
      </c>
      <c r="C44" s="57" t="s">
        <v>311</v>
      </c>
      <c r="D44" s="60" t="s">
        <v>312</v>
      </c>
      <c r="E44" s="54" t="s">
        <v>313</v>
      </c>
      <c r="F44" s="54" t="s">
        <v>314</v>
      </c>
    </row>
    <row r="45" spans="2:6" ht="53.55" customHeight="1" x14ac:dyDescent="0.3">
      <c r="B45" s="56" t="s">
        <v>315</v>
      </c>
      <c r="C45" s="57" t="s">
        <v>98</v>
      </c>
      <c r="D45" s="60" t="s">
        <v>312</v>
      </c>
      <c r="E45" s="54" t="s">
        <v>316</v>
      </c>
      <c r="F45" s="54" t="s">
        <v>317</v>
      </c>
    </row>
    <row r="46" spans="2:6" ht="10.050000000000001" customHeight="1" x14ac:dyDescent="0.3"/>
    <row r="47" spans="2:6" ht="24" customHeight="1" x14ac:dyDescent="0.3">
      <c r="B47" s="83" t="s">
        <v>195</v>
      </c>
      <c r="C47" s="69"/>
      <c r="D47" s="69"/>
      <c r="E47" s="69"/>
      <c r="F47" s="69"/>
    </row>
    <row r="48" spans="2:6" ht="23.1" customHeight="1" x14ac:dyDescent="0.3">
      <c r="B48" s="68" t="s">
        <v>318</v>
      </c>
      <c r="C48" s="69"/>
      <c r="D48" s="69"/>
      <c r="E48" s="69"/>
      <c r="F48" s="69"/>
    </row>
    <row r="49" spans="2:6" ht="23.1" customHeight="1" x14ac:dyDescent="0.3">
      <c r="B49" s="68" t="s">
        <v>319</v>
      </c>
      <c r="C49" s="69"/>
      <c r="D49" s="69"/>
      <c r="E49" s="69"/>
      <c r="F49" s="69"/>
    </row>
    <row r="50" spans="2:6" ht="23.1" customHeight="1" x14ac:dyDescent="0.3">
      <c r="B50" s="68" t="s">
        <v>320</v>
      </c>
      <c r="C50" s="69"/>
      <c r="D50" s="69"/>
      <c r="E50" s="69"/>
      <c r="F50" s="69"/>
    </row>
    <row r="51" spans="2:6" ht="23.1" customHeight="1" x14ac:dyDescent="0.3">
      <c r="B51" s="68" t="s">
        <v>321</v>
      </c>
      <c r="C51" s="69"/>
      <c r="D51" s="69"/>
      <c r="E51" s="69"/>
      <c r="F51" s="69"/>
    </row>
    <row r="52" spans="2:6" ht="23.1" customHeight="1" x14ac:dyDescent="0.3">
      <c r="B52" s="68" t="s">
        <v>322</v>
      </c>
      <c r="C52" s="69"/>
      <c r="D52" s="69"/>
      <c r="E52" s="69"/>
      <c r="F52" s="69"/>
    </row>
    <row r="53" spans="2:6" ht="23.1" customHeight="1" x14ac:dyDescent="0.3">
      <c r="B53" s="68" t="s">
        <v>323</v>
      </c>
      <c r="C53" s="69"/>
      <c r="D53" s="69"/>
      <c r="E53" s="69"/>
      <c r="F53" s="69"/>
    </row>
    <row r="54" spans="2:6" ht="23.1" customHeight="1" x14ac:dyDescent="0.3">
      <c r="B54" s="68" t="s">
        <v>324</v>
      </c>
      <c r="C54" s="69"/>
      <c r="D54" s="69"/>
      <c r="E54" s="69"/>
      <c r="F54" s="69"/>
    </row>
    <row r="55" spans="2:6" ht="10.050000000000001" customHeight="1" x14ac:dyDescent="0.3"/>
    <row r="56" spans="2:6" ht="24" customHeight="1" x14ac:dyDescent="0.3">
      <c r="B56" s="83" t="s">
        <v>325</v>
      </c>
      <c r="C56" s="69"/>
      <c r="D56" s="69"/>
      <c r="E56" s="69"/>
      <c r="F56" s="69"/>
    </row>
    <row r="57" spans="2:6" ht="53.55" customHeight="1" x14ac:dyDescent="0.3">
      <c r="B57" s="74" t="s">
        <v>326</v>
      </c>
      <c r="C57" s="69"/>
      <c r="D57" s="69"/>
      <c r="E57" s="69"/>
      <c r="F57" s="69"/>
    </row>
    <row r="58" spans="2:6" ht="10.050000000000001" customHeight="1" x14ac:dyDescent="0.3"/>
    <row r="59" spans="2:6" ht="24" customHeight="1" x14ac:dyDescent="0.3">
      <c r="B59" s="83" t="s">
        <v>205</v>
      </c>
      <c r="C59" s="69"/>
      <c r="D59" s="69"/>
      <c r="E59" s="69"/>
      <c r="F59" s="69"/>
    </row>
    <row r="60" spans="2:6" ht="27.3" customHeight="1" x14ac:dyDescent="0.3">
      <c r="B60" s="77" t="s">
        <v>206</v>
      </c>
      <c r="C60" s="69"/>
      <c r="D60" s="69"/>
      <c r="E60" s="69"/>
      <c r="F60" s="69"/>
    </row>
    <row r="61" spans="2:6" ht="38.4" customHeight="1" x14ac:dyDescent="0.3">
      <c r="B61" s="74" t="s">
        <v>207</v>
      </c>
      <c r="C61" s="69"/>
      <c r="D61" s="69"/>
      <c r="E61" s="69"/>
      <c r="F61" s="69"/>
    </row>
    <row r="62" spans="2:6" ht="23.1" customHeight="1" x14ac:dyDescent="0.3">
      <c r="B62" s="68" t="s">
        <v>208</v>
      </c>
      <c r="C62" s="69"/>
      <c r="D62" s="69"/>
      <c r="E62" s="69"/>
      <c r="F62" s="69"/>
    </row>
    <row r="63" spans="2:6" ht="23.1" customHeight="1" x14ac:dyDescent="0.3">
      <c r="B63" s="68" t="s">
        <v>209</v>
      </c>
      <c r="C63" s="69"/>
      <c r="D63" s="69"/>
      <c r="E63" s="69"/>
      <c r="F63" s="69"/>
    </row>
    <row r="64" spans="2:6" ht="23.1" customHeight="1" x14ac:dyDescent="0.3">
      <c r="B64" s="68" t="s">
        <v>210</v>
      </c>
      <c r="C64" s="69"/>
      <c r="D64" s="69"/>
      <c r="E64" s="69"/>
      <c r="F64" s="69"/>
    </row>
    <row r="65" spans="2:6" ht="23.1" customHeight="1" x14ac:dyDescent="0.3">
      <c r="B65" s="68" t="s">
        <v>211</v>
      </c>
      <c r="C65" s="69"/>
      <c r="D65" s="69"/>
      <c r="E65" s="69"/>
      <c r="F65" s="69"/>
    </row>
    <row r="66" spans="2:6" ht="23.1" customHeight="1" x14ac:dyDescent="0.3">
      <c r="B66" s="68" t="s">
        <v>212</v>
      </c>
      <c r="C66" s="69"/>
      <c r="D66" s="69"/>
      <c r="E66" s="69"/>
      <c r="F66" s="69"/>
    </row>
    <row r="67" spans="2:6" ht="23.1" customHeight="1" x14ac:dyDescent="0.3">
      <c r="B67" s="68" t="s">
        <v>213</v>
      </c>
      <c r="C67" s="69"/>
      <c r="D67" s="69"/>
      <c r="E67" s="69"/>
      <c r="F67" s="69"/>
    </row>
    <row r="68" spans="2:6" ht="23.1" customHeight="1" x14ac:dyDescent="0.3">
      <c r="B68" s="68" t="s">
        <v>327</v>
      </c>
      <c r="C68" s="69"/>
      <c r="D68" s="69"/>
      <c r="E68" s="69"/>
      <c r="F68" s="69"/>
    </row>
    <row r="69" spans="2:6" ht="23.1" customHeight="1" x14ac:dyDescent="0.3">
      <c r="B69" s="68" t="s">
        <v>328</v>
      </c>
      <c r="C69" s="69"/>
      <c r="D69" s="69"/>
      <c r="E69" s="69"/>
      <c r="F69" s="69"/>
    </row>
    <row r="70" spans="2:6" ht="10.050000000000001" customHeight="1" x14ac:dyDescent="0.3"/>
  </sheetData>
  <sheetProtection sheet="1"/>
  <mergeCells count="46">
    <mergeCell ref="B69:F69"/>
    <mergeCell ref="B10:F10"/>
    <mergeCell ref="B19:C19"/>
    <mergeCell ref="D20:F20"/>
    <mergeCell ref="B9:F9"/>
    <mergeCell ref="B49:F49"/>
    <mergeCell ref="B65:F65"/>
    <mergeCell ref="B68:F68"/>
    <mergeCell ref="D19:F19"/>
    <mergeCell ref="B64:F64"/>
    <mergeCell ref="B20:C20"/>
    <mergeCell ref="B51:F51"/>
    <mergeCell ref="B63:F63"/>
    <mergeCell ref="D21:F21"/>
    <mergeCell ref="B50:F50"/>
    <mergeCell ref="B67:F67"/>
    <mergeCell ref="B14:C14"/>
    <mergeCell ref="B23:F23"/>
    <mergeCell ref="B61:F61"/>
    <mergeCell ref="B57:F57"/>
    <mergeCell ref="B53:F53"/>
    <mergeCell ref="D14:F14"/>
    <mergeCell ref="C1:F2"/>
    <mergeCell ref="B18:F18"/>
    <mergeCell ref="B56:F56"/>
    <mergeCell ref="B12:C12"/>
    <mergeCell ref="B52:F52"/>
    <mergeCell ref="B21:C21"/>
    <mergeCell ref="B11:C11"/>
    <mergeCell ref="B48:F48"/>
    <mergeCell ref="B42:F42"/>
    <mergeCell ref="D12:F12"/>
    <mergeCell ref="B13:C13"/>
    <mergeCell ref="B6:F6"/>
    <mergeCell ref="B5:F5"/>
    <mergeCell ref="B54:F54"/>
    <mergeCell ref="B62:F62"/>
    <mergeCell ref="B3:F3"/>
    <mergeCell ref="B59:F59"/>
    <mergeCell ref="B66:F66"/>
    <mergeCell ref="B60:F60"/>
    <mergeCell ref="B7:F7"/>
    <mergeCell ref="D11:F11"/>
    <mergeCell ref="D13:F13"/>
    <mergeCell ref="B47:F47"/>
    <mergeCell ref="B16:F16"/>
  </mergeCells>
  <printOptions horizontalCentered="1"/>
  <pageMargins left="0.4" right="0.4" top="1" bottom="1" header="0.5" footer="0.5"/>
  <pageSetup paperSize="9"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59A6E-4764-4D45-97F1-64EB901E82B8}">
  <dimension ref="B1:T305"/>
  <sheetViews>
    <sheetView showGridLines="0" showRuler="0" topLeftCell="B1" zoomScaleNormal="100" workbookViewId="0">
      <pane ySplit="5" topLeftCell="A6" activePane="bottomLeft" state="frozen"/>
      <selection pane="bottomLeft" activeCell="F297" sqref="F297"/>
    </sheetView>
  </sheetViews>
  <sheetFormatPr defaultRowHeight="13.8" x14ac:dyDescent="0.3"/>
  <cols>
    <col min="1" max="1" width="0.88671875" style="15" customWidth="1"/>
    <col min="2" max="2" width="14.44140625" style="32" customWidth="1"/>
    <col min="3" max="3" width="33.88671875" style="32" customWidth="1"/>
    <col min="4" max="4" width="23.21875" style="32" bestFit="1" customWidth="1"/>
    <col min="5" max="5" width="23.21875" style="32" customWidth="1"/>
    <col min="6" max="6" width="19.5546875" style="32" customWidth="1"/>
    <col min="7" max="7" width="15.88671875" style="32" customWidth="1"/>
    <col min="8" max="8" width="17.77734375" style="32" customWidth="1"/>
    <col min="9" max="9" width="14.21875" style="32" customWidth="1"/>
    <col min="10" max="10" width="20" style="32" customWidth="1"/>
    <col min="11" max="11" width="10.109375" style="32" customWidth="1"/>
    <col min="12" max="12" width="13.88671875" style="15" customWidth="1"/>
    <col min="13" max="13" width="10.77734375" style="15" customWidth="1"/>
    <col min="14" max="14" width="20.109375" style="32" bestFit="1" customWidth="1"/>
    <col min="15" max="15" width="13.109375" style="32" customWidth="1"/>
    <col min="16" max="16" width="12.44140625" style="32" customWidth="1"/>
    <col min="17" max="17" width="14.44140625" style="16" customWidth="1"/>
    <col min="18" max="18" width="2.5546875" style="15" customWidth="1"/>
    <col min="19" max="19" width="21.6640625" style="15" customWidth="1"/>
    <col min="20" max="20" width="11.109375" style="15" customWidth="1"/>
    <col min="21" max="16384" width="8.88671875" style="15"/>
  </cols>
  <sheetData>
    <row r="1" spans="2:20" ht="4.2" customHeight="1" x14ac:dyDescent="0.3">
      <c r="B1" s="15"/>
      <c r="C1" s="15"/>
      <c r="D1" s="15"/>
      <c r="E1" s="15"/>
      <c r="F1" s="15"/>
      <c r="G1" s="15"/>
      <c r="H1" s="15"/>
      <c r="I1" s="15"/>
      <c r="J1" s="15"/>
      <c r="K1" s="15"/>
      <c r="N1" s="15"/>
      <c r="O1" s="15"/>
      <c r="P1" s="15"/>
    </row>
    <row r="2" spans="2:20" ht="63.6" customHeight="1" x14ac:dyDescent="0.3">
      <c r="B2" s="8"/>
      <c r="C2" s="91" t="s">
        <v>41</v>
      </c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</row>
    <row r="3" spans="2:20" ht="6" customHeight="1" x14ac:dyDescent="0.3">
      <c r="B3" s="15"/>
      <c r="C3" s="15"/>
      <c r="D3" s="15"/>
      <c r="E3" s="15"/>
      <c r="F3" s="15"/>
      <c r="G3" s="15"/>
      <c r="H3" s="15"/>
      <c r="I3" s="15"/>
      <c r="J3" s="15"/>
      <c r="K3" s="15"/>
      <c r="N3" s="15"/>
      <c r="O3" s="15"/>
      <c r="P3" s="15"/>
    </row>
    <row r="4" spans="2:20" ht="23.4" customHeight="1" x14ac:dyDescent="0.3">
      <c r="B4" s="92" t="s">
        <v>16</v>
      </c>
      <c r="C4" s="92" t="s">
        <v>24</v>
      </c>
      <c r="D4" s="92" t="s">
        <v>25</v>
      </c>
      <c r="E4" s="92" t="s">
        <v>26</v>
      </c>
      <c r="F4" s="92" t="s">
        <v>18</v>
      </c>
      <c r="G4" s="92" t="s">
        <v>27</v>
      </c>
      <c r="H4" s="92" t="s">
        <v>28</v>
      </c>
      <c r="I4" s="92" t="s">
        <v>29</v>
      </c>
      <c r="J4" s="92" t="s">
        <v>31</v>
      </c>
      <c r="K4" s="94" t="s">
        <v>43</v>
      </c>
      <c r="L4" s="97" t="s">
        <v>42</v>
      </c>
      <c r="M4" s="97"/>
      <c r="N4" s="97"/>
      <c r="O4" s="98" t="s">
        <v>23</v>
      </c>
      <c r="P4" s="99"/>
      <c r="Q4" s="96" t="s">
        <v>108</v>
      </c>
      <c r="S4" s="93" t="s">
        <v>48</v>
      </c>
      <c r="T4" s="93"/>
    </row>
    <row r="5" spans="2:20" ht="28.2" customHeight="1" x14ac:dyDescent="0.3">
      <c r="B5" s="92"/>
      <c r="C5" s="92"/>
      <c r="D5" s="92"/>
      <c r="E5" s="92"/>
      <c r="F5" s="92"/>
      <c r="G5" s="92"/>
      <c r="H5" s="92"/>
      <c r="I5" s="92"/>
      <c r="J5" s="92"/>
      <c r="K5" s="95"/>
      <c r="L5" s="10" t="s">
        <v>45</v>
      </c>
      <c r="M5" s="10" t="s">
        <v>46</v>
      </c>
      <c r="N5" s="20" t="s">
        <v>52</v>
      </c>
      <c r="O5" s="20" t="s">
        <v>42</v>
      </c>
      <c r="P5" s="42" t="s">
        <v>106</v>
      </c>
      <c r="Q5" s="96"/>
      <c r="S5" s="14" t="s">
        <v>49</v>
      </c>
      <c r="T5" s="14">
        <v>1</v>
      </c>
    </row>
    <row r="6" spans="2:20" x14ac:dyDescent="0.3">
      <c r="B6" s="30">
        <f>'Critérios de Seleção de Fornece'!B6</f>
        <v>1</v>
      </c>
      <c r="C6" s="30">
        <f>'Critérios de Seleção de Fornece'!C6</f>
        <v>0</v>
      </c>
      <c r="D6" s="30">
        <f>'Critérios de Seleção de Fornece'!H6</f>
        <v>0</v>
      </c>
      <c r="E6" s="30">
        <f>'Critérios de Seleção de Fornece'!I6</f>
        <v>0</v>
      </c>
      <c r="F6" s="30" t="e">
        <f>'Critérios de Seleção de Fornece'!L6</f>
        <v>#DIV/0!</v>
      </c>
      <c r="G6" s="30" t="e">
        <f>'Critérios de Seleção de Fornece'!O6</f>
        <v>#DIV/0!</v>
      </c>
      <c r="H6" s="30">
        <f>'Critérios de Seleção de Fornece'!Q6</f>
        <v>0</v>
      </c>
      <c r="I6" s="30" t="e">
        <f>'Critérios de Seleção de Fornece'!T6</f>
        <v>#DIV/0!</v>
      </c>
      <c r="J6" s="30" t="e">
        <f>'Critérios de Seleção de Fornece'!W6</f>
        <v>#DIV/0!</v>
      </c>
      <c r="K6" s="31" t="e">
        <f>AVERAGE(D6:J6)</f>
        <v>#DIV/0!</v>
      </c>
      <c r="L6" s="21"/>
      <c r="M6" s="22"/>
      <c r="N6" s="33">
        <f>IF(M6&gt;L6,1,IF(M6=L6,T6,T7))</f>
        <v>3</v>
      </c>
      <c r="O6" s="34" t="e">
        <f>((5-K6)/4) + ((N6-3)/20)</f>
        <v>#DIV/0!</v>
      </c>
      <c r="P6" s="35" t="e">
        <f>IF(O6&gt;=0.7,$S$10,IF(O6&gt;=0.5,$S$11,$S$12))</f>
        <v>#DIV/0!</v>
      </c>
      <c r="Q6" s="24"/>
      <c r="S6" s="14" t="s">
        <v>50</v>
      </c>
      <c r="T6" s="14">
        <v>3</v>
      </c>
    </row>
    <row r="7" spans="2:20" x14ac:dyDescent="0.3">
      <c r="B7" s="30">
        <f>'Critérios de Seleção de Fornece'!B7</f>
        <v>2</v>
      </c>
      <c r="C7" s="30">
        <f>'Critérios de Seleção de Fornece'!C7</f>
        <v>0</v>
      </c>
      <c r="D7" s="30">
        <f>'Critérios de Seleção de Fornece'!H7</f>
        <v>0</v>
      </c>
      <c r="E7" s="30">
        <f>'Critérios de Seleção de Fornece'!I7</f>
        <v>0</v>
      </c>
      <c r="F7" s="30" t="e">
        <f>'Critérios de Seleção de Fornece'!L7</f>
        <v>#DIV/0!</v>
      </c>
      <c r="G7" s="30" t="e">
        <f>'Critérios de Seleção de Fornece'!O7</f>
        <v>#DIV/0!</v>
      </c>
      <c r="H7" s="30">
        <f>'Critérios de Seleção de Fornece'!Q7</f>
        <v>0</v>
      </c>
      <c r="I7" s="30" t="e">
        <f>'Critérios de Seleção de Fornece'!T7</f>
        <v>#DIV/0!</v>
      </c>
      <c r="J7" s="30" t="e">
        <f>'Critérios de Seleção de Fornece'!W7</f>
        <v>#DIV/0!</v>
      </c>
      <c r="K7" s="31" t="e">
        <f t="shared" ref="K7:K25" si="0">AVERAGE(D7:J7)</f>
        <v>#DIV/0!</v>
      </c>
      <c r="L7" s="25"/>
      <c r="M7" s="26"/>
      <c r="N7" s="36">
        <f t="shared" ref="N7:N25" si="1">IF(M7&gt;L7,1,IF(M7=L7,3,5))</f>
        <v>3</v>
      </c>
      <c r="O7" s="37" t="e">
        <f t="shared" ref="O7:O25" si="2">((5-K7)/4) + ((N7-3)/20)</f>
        <v>#DIV/0!</v>
      </c>
      <c r="P7" s="38" t="e">
        <f t="shared" ref="P7:P25" si="3">IF(O7&gt;=0.7,$S$10,IF(O7&gt;=0.5,$S$11,$S$12))</f>
        <v>#DIV/0!</v>
      </c>
      <c r="Q7" s="28"/>
      <c r="S7" s="14" t="s">
        <v>51</v>
      </c>
      <c r="T7" s="14">
        <v>5</v>
      </c>
    </row>
    <row r="8" spans="2:20" x14ac:dyDescent="0.3">
      <c r="B8" s="30">
        <f>'Critérios de Seleção de Fornece'!B8</f>
        <v>3</v>
      </c>
      <c r="C8" s="30">
        <f>'Critérios de Seleção de Fornece'!C8</f>
        <v>0</v>
      </c>
      <c r="D8" s="30">
        <f>'Critérios de Seleção de Fornece'!H8</f>
        <v>0</v>
      </c>
      <c r="E8" s="30">
        <f>'Critérios de Seleção de Fornece'!I8</f>
        <v>0</v>
      </c>
      <c r="F8" s="30" t="e">
        <f>'Critérios de Seleção de Fornece'!L8</f>
        <v>#DIV/0!</v>
      </c>
      <c r="G8" s="30" t="e">
        <f>'Critérios de Seleção de Fornece'!O8</f>
        <v>#DIV/0!</v>
      </c>
      <c r="H8" s="30">
        <f>'Critérios de Seleção de Fornece'!Q8</f>
        <v>0</v>
      </c>
      <c r="I8" s="30" t="e">
        <f>'Critérios de Seleção de Fornece'!T8</f>
        <v>#DIV/0!</v>
      </c>
      <c r="J8" s="30" t="e">
        <f>'Critérios de Seleção de Fornece'!W8</f>
        <v>#DIV/0!</v>
      </c>
      <c r="K8" s="31" t="e">
        <f t="shared" si="0"/>
        <v>#DIV/0!</v>
      </c>
      <c r="L8" s="14"/>
      <c r="M8" s="14"/>
      <c r="N8" s="36">
        <f t="shared" si="1"/>
        <v>3</v>
      </c>
      <c r="O8" s="37" t="e">
        <f t="shared" si="2"/>
        <v>#DIV/0!</v>
      </c>
      <c r="P8" s="38" t="e">
        <f t="shared" si="3"/>
        <v>#DIV/0!</v>
      </c>
      <c r="Q8" s="28"/>
    </row>
    <row r="9" spans="2:20" x14ac:dyDescent="0.3">
      <c r="B9" s="30">
        <f>'Critérios de Seleção de Fornece'!B9</f>
        <v>4</v>
      </c>
      <c r="C9" s="30">
        <f>'Critérios de Seleção de Fornece'!C9</f>
        <v>0</v>
      </c>
      <c r="D9" s="30">
        <f>'Critérios de Seleção de Fornece'!H9</f>
        <v>0</v>
      </c>
      <c r="E9" s="30">
        <f>'Critérios de Seleção de Fornece'!I9</f>
        <v>0</v>
      </c>
      <c r="F9" s="30" t="e">
        <f>'Critérios de Seleção de Fornece'!L9</f>
        <v>#DIV/0!</v>
      </c>
      <c r="G9" s="30" t="e">
        <f>'Critérios de Seleção de Fornece'!O9</f>
        <v>#DIV/0!</v>
      </c>
      <c r="H9" s="30">
        <f>'Critérios de Seleção de Fornece'!Q9</f>
        <v>0</v>
      </c>
      <c r="I9" s="30" t="e">
        <f>'Critérios de Seleção de Fornece'!T9</f>
        <v>#DIV/0!</v>
      </c>
      <c r="J9" s="30" t="e">
        <f>'Critérios de Seleção de Fornece'!W9</f>
        <v>#DIV/0!</v>
      </c>
      <c r="K9" s="31" t="e">
        <f t="shared" si="0"/>
        <v>#DIV/0!</v>
      </c>
      <c r="L9" s="14"/>
      <c r="M9" s="14"/>
      <c r="N9" s="36">
        <f t="shared" si="1"/>
        <v>3</v>
      </c>
      <c r="O9" s="37" t="e">
        <f t="shared" si="2"/>
        <v>#DIV/0!</v>
      </c>
      <c r="P9" s="38" t="e">
        <f t="shared" si="3"/>
        <v>#DIV/0!</v>
      </c>
      <c r="Q9" s="28"/>
      <c r="S9" s="93" t="s">
        <v>98</v>
      </c>
      <c r="T9" s="93"/>
    </row>
    <row r="10" spans="2:20" x14ac:dyDescent="0.3">
      <c r="B10" s="30">
        <f>'Critérios de Seleção de Fornece'!B10</f>
        <v>5</v>
      </c>
      <c r="C10" s="30">
        <f>'Critérios de Seleção de Fornece'!C10</f>
        <v>0</v>
      </c>
      <c r="D10" s="30">
        <f>'Critérios de Seleção de Fornece'!H10</f>
        <v>0</v>
      </c>
      <c r="E10" s="30">
        <f>'Critérios de Seleção de Fornece'!I10</f>
        <v>0</v>
      </c>
      <c r="F10" s="30" t="e">
        <f>'Critérios de Seleção de Fornece'!L10</f>
        <v>#DIV/0!</v>
      </c>
      <c r="G10" s="30" t="e">
        <f>'Critérios de Seleção de Fornece'!O10</f>
        <v>#DIV/0!</v>
      </c>
      <c r="H10" s="30">
        <f>'Critérios de Seleção de Fornece'!Q10</f>
        <v>0</v>
      </c>
      <c r="I10" s="30" t="e">
        <f>'Critérios de Seleção de Fornece'!T10</f>
        <v>#DIV/0!</v>
      </c>
      <c r="J10" s="30" t="e">
        <f>'Critérios de Seleção de Fornece'!W10</f>
        <v>#DIV/0!</v>
      </c>
      <c r="K10" s="31" t="e">
        <f t="shared" si="0"/>
        <v>#DIV/0!</v>
      </c>
      <c r="L10" s="21"/>
      <c r="M10" s="21"/>
      <c r="N10" s="33">
        <f t="shared" si="1"/>
        <v>3</v>
      </c>
      <c r="O10" s="34" t="e">
        <f t="shared" si="2"/>
        <v>#DIV/0!</v>
      </c>
      <c r="P10" s="35" t="e">
        <f t="shared" si="3"/>
        <v>#DIV/0!</v>
      </c>
      <c r="Q10" s="24"/>
      <c r="S10" s="14" t="s">
        <v>99</v>
      </c>
      <c r="T10" s="14" t="s">
        <v>102</v>
      </c>
    </row>
    <row r="11" spans="2:20" x14ac:dyDescent="0.3">
      <c r="B11" s="30">
        <f>'Critérios de Seleção de Fornece'!B11</f>
        <v>6</v>
      </c>
      <c r="C11" s="30">
        <f>'Critérios de Seleção de Fornece'!C11</f>
        <v>0</v>
      </c>
      <c r="D11" s="30">
        <f>'Critérios de Seleção de Fornece'!H11</f>
        <v>0</v>
      </c>
      <c r="E11" s="30">
        <f>'Critérios de Seleção de Fornece'!I11</f>
        <v>0</v>
      </c>
      <c r="F11" s="30" t="e">
        <f>'Critérios de Seleção de Fornece'!L11</f>
        <v>#DIV/0!</v>
      </c>
      <c r="G11" s="30" t="e">
        <f>'Critérios de Seleção de Fornece'!O11</f>
        <v>#DIV/0!</v>
      </c>
      <c r="H11" s="30">
        <f>'Critérios de Seleção de Fornece'!Q11</f>
        <v>0</v>
      </c>
      <c r="I11" s="30" t="e">
        <f>'Critérios de Seleção de Fornece'!T11</f>
        <v>#DIV/0!</v>
      </c>
      <c r="J11" s="30" t="e">
        <f>'Critérios de Seleção de Fornece'!W11</f>
        <v>#DIV/0!</v>
      </c>
      <c r="K11" s="31" t="e">
        <f t="shared" si="0"/>
        <v>#DIV/0!</v>
      </c>
      <c r="L11" s="21"/>
      <c r="M11" s="21"/>
      <c r="N11" s="33">
        <f t="shared" si="1"/>
        <v>3</v>
      </c>
      <c r="O11" s="34" t="e">
        <f t="shared" si="2"/>
        <v>#DIV/0!</v>
      </c>
      <c r="P11" s="35" t="e">
        <f t="shared" si="3"/>
        <v>#DIV/0!</v>
      </c>
      <c r="Q11" s="24"/>
      <c r="S11" s="14" t="s">
        <v>107</v>
      </c>
      <c r="T11" s="14" t="s">
        <v>101</v>
      </c>
    </row>
    <row r="12" spans="2:20" x14ac:dyDescent="0.3">
      <c r="B12" s="30">
        <f>'Critérios de Seleção de Fornece'!B12</f>
        <v>7</v>
      </c>
      <c r="C12" s="30">
        <f>'Critérios de Seleção de Fornece'!C12</f>
        <v>0</v>
      </c>
      <c r="D12" s="30">
        <f>'Critérios de Seleção de Fornece'!H12</f>
        <v>0</v>
      </c>
      <c r="E12" s="30">
        <f>'Critérios de Seleção de Fornece'!I12</f>
        <v>0</v>
      </c>
      <c r="F12" s="30" t="e">
        <f>'Critérios de Seleção de Fornece'!L12</f>
        <v>#DIV/0!</v>
      </c>
      <c r="G12" s="30" t="e">
        <f>'Critérios de Seleção de Fornece'!O12</f>
        <v>#DIV/0!</v>
      </c>
      <c r="H12" s="30">
        <f>'Critérios de Seleção de Fornece'!Q12</f>
        <v>0</v>
      </c>
      <c r="I12" s="30" t="e">
        <f>'Critérios de Seleção de Fornece'!T12</f>
        <v>#DIV/0!</v>
      </c>
      <c r="J12" s="30" t="e">
        <f>'Critérios de Seleção de Fornece'!W12</f>
        <v>#DIV/0!</v>
      </c>
      <c r="K12" s="31" t="e">
        <f t="shared" si="0"/>
        <v>#DIV/0!</v>
      </c>
      <c r="L12" s="14"/>
      <c r="M12" s="14"/>
      <c r="N12" s="33">
        <f t="shared" si="1"/>
        <v>3</v>
      </c>
      <c r="O12" s="34" t="e">
        <f t="shared" si="2"/>
        <v>#DIV/0!</v>
      </c>
      <c r="P12" s="35" t="e">
        <f t="shared" si="3"/>
        <v>#DIV/0!</v>
      </c>
      <c r="Q12" s="24"/>
      <c r="S12" s="14" t="s">
        <v>100</v>
      </c>
      <c r="T12" s="14" t="s">
        <v>103</v>
      </c>
    </row>
    <row r="13" spans="2:20" x14ac:dyDescent="0.3">
      <c r="B13" s="30">
        <f>'Critérios de Seleção de Fornece'!B13</f>
        <v>8</v>
      </c>
      <c r="C13" s="30">
        <f>'Critérios de Seleção de Fornece'!C13</f>
        <v>0</v>
      </c>
      <c r="D13" s="30">
        <f>'Critérios de Seleção de Fornece'!H13</f>
        <v>0</v>
      </c>
      <c r="E13" s="30">
        <f>'Critérios de Seleção de Fornece'!I13</f>
        <v>0</v>
      </c>
      <c r="F13" s="30" t="e">
        <f>'Critérios de Seleção de Fornece'!L13</f>
        <v>#DIV/0!</v>
      </c>
      <c r="G13" s="30" t="e">
        <f>'Critérios de Seleção de Fornece'!O13</f>
        <v>#DIV/0!</v>
      </c>
      <c r="H13" s="30">
        <f>'Critérios de Seleção de Fornece'!Q13</f>
        <v>0</v>
      </c>
      <c r="I13" s="30" t="e">
        <f>'Critérios de Seleção de Fornece'!T13</f>
        <v>#DIV/0!</v>
      </c>
      <c r="J13" s="30" t="e">
        <f>'Critérios de Seleção de Fornece'!W13</f>
        <v>#DIV/0!</v>
      </c>
      <c r="K13" s="31" t="e">
        <f t="shared" si="0"/>
        <v>#DIV/0!</v>
      </c>
      <c r="L13" s="14"/>
      <c r="M13" s="14"/>
      <c r="N13" s="33">
        <f t="shared" si="1"/>
        <v>3</v>
      </c>
      <c r="O13" s="34" t="e">
        <f t="shared" si="2"/>
        <v>#DIV/0!</v>
      </c>
      <c r="P13" s="35" t="e">
        <f t="shared" si="3"/>
        <v>#DIV/0!</v>
      </c>
      <c r="Q13" s="24"/>
    </row>
    <row r="14" spans="2:20" x14ac:dyDescent="0.3">
      <c r="B14" s="30">
        <f>'Critérios de Seleção de Fornece'!B14</f>
        <v>9</v>
      </c>
      <c r="C14" s="30">
        <f>'Critérios de Seleção de Fornece'!C14</f>
        <v>0</v>
      </c>
      <c r="D14" s="30">
        <f>'Critérios de Seleção de Fornece'!H14</f>
        <v>0</v>
      </c>
      <c r="E14" s="30">
        <f>'Critérios de Seleção de Fornece'!I14</f>
        <v>0</v>
      </c>
      <c r="F14" s="30" t="e">
        <f>'Critérios de Seleção de Fornece'!L14</f>
        <v>#DIV/0!</v>
      </c>
      <c r="G14" s="30" t="e">
        <f>'Critérios de Seleção de Fornece'!O14</f>
        <v>#DIV/0!</v>
      </c>
      <c r="H14" s="30">
        <f>'Critérios de Seleção de Fornece'!Q14</f>
        <v>0</v>
      </c>
      <c r="I14" s="30" t="e">
        <f>'Critérios de Seleção de Fornece'!T14</f>
        <v>#DIV/0!</v>
      </c>
      <c r="J14" s="30" t="e">
        <f>'Critérios de Seleção de Fornece'!W14</f>
        <v>#DIV/0!</v>
      </c>
      <c r="K14" s="31" t="e">
        <f t="shared" si="0"/>
        <v>#DIV/0!</v>
      </c>
      <c r="L14" s="14"/>
      <c r="M14" s="14"/>
      <c r="N14" s="33">
        <f t="shared" si="1"/>
        <v>3</v>
      </c>
      <c r="O14" s="34" t="e">
        <f t="shared" si="2"/>
        <v>#DIV/0!</v>
      </c>
      <c r="P14" s="35" t="e">
        <f t="shared" si="3"/>
        <v>#DIV/0!</v>
      </c>
      <c r="Q14" s="24"/>
    </row>
    <row r="15" spans="2:20" x14ac:dyDescent="0.3">
      <c r="B15" s="30">
        <f>'Critérios de Seleção de Fornece'!B15</f>
        <v>10</v>
      </c>
      <c r="C15" s="30">
        <f>'Critérios de Seleção de Fornece'!C15</f>
        <v>0</v>
      </c>
      <c r="D15" s="30">
        <f>'Critérios de Seleção de Fornece'!H15</f>
        <v>0</v>
      </c>
      <c r="E15" s="30">
        <f>'Critérios de Seleção de Fornece'!I15</f>
        <v>0</v>
      </c>
      <c r="F15" s="30" t="e">
        <f>'Critérios de Seleção de Fornece'!L15</f>
        <v>#DIV/0!</v>
      </c>
      <c r="G15" s="30" t="e">
        <f>'Critérios de Seleção de Fornece'!O15</f>
        <v>#DIV/0!</v>
      </c>
      <c r="H15" s="30">
        <f>'Critérios de Seleção de Fornece'!Q15</f>
        <v>0</v>
      </c>
      <c r="I15" s="30" t="e">
        <f>'Critérios de Seleção de Fornece'!T15</f>
        <v>#DIV/0!</v>
      </c>
      <c r="J15" s="30" t="e">
        <f>'Critérios de Seleção de Fornece'!W15</f>
        <v>#DIV/0!</v>
      </c>
      <c r="K15" s="31" t="e">
        <f t="shared" si="0"/>
        <v>#DIV/0!</v>
      </c>
      <c r="L15" s="14"/>
      <c r="M15" s="14"/>
      <c r="N15" s="33">
        <f t="shared" si="1"/>
        <v>3</v>
      </c>
      <c r="O15" s="34" t="e">
        <f t="shared" si="2"/>
        <v>#DIV/0!</v>
      </c>
      <c r="P15" s="35" t="e">
        <f t="shared" si="3"/>
        <v>#DIV/0!</v>
      </c>
      <c r="Q15" s="24"/>
    </row>
    <row r="16" spans="2:20" x14ac:dyDescent="0.3">
      <c r="B16" s="30">
        <f>'Critérios de Seleção de Fornece'!B16</f>
        <v>11</v>
      </c>
      <c r="C16" s="30">
        <f>'Critérios de Seleção de Fornece'!C16</f>
        <v>0</v>
      </c>
      <c r="D16" s="30">
        <f>'Critérios de Seleção de Fornece'!H16</f>
        <v>0</v>
      </c>
      <c r="E16" s="30">
        <f>'Critérios de Seleção de Fornece'!I16</f>
        <v>0</v>
      </c>
      <c r="F16" s="30" t="e">
        <f>'Critérios de Seleção de Fornece'!L16</f>
        <v>#DIV/0!</v>
      </c>
      <c r="G16" s="30" t="e">
        <f>'Critérios de Seleção de Fornece'!O16</f>
        <v>#DIV/0!</v>
      </c>
      <c r="H16" s="30">
        <f>'Critérios de Seleção de Fornece'!Q16</f>
        <v>0</v>
      </c>
      <c r="I16" s="30" t="e">
        <f>'Critérios de Seleção de Fornece'!T16</f>
        <v>#DIV/0!</v>
      </c>
      <c r="J16" s="30" t="e">
        <f>'Critérios de Seleção de Fornece'!W16</f>
        <v>#DIV/0!</v>
      </c>
      <c r="K16" s="31" t="e">
        <f t="shared" si="0"/>
        <v>#DIV/0!</v>
      </c>
      <c r="L16" s="14"/>
      <c r="M16" s="14"/>
      <c r="N16" s="33">
        <f t="shared" si="1"/>
        <v>3</v>
      </c>
      <c r="O16" s="34" t="e">
        <f t="shared" si="2"/>
        <v>#DIV/0!</v>
      </c>
      <c r="P16" s="35" t="e">
        <f t="shared" si="3"/>
        <v>#DIV/0!</v>
      </c>
      <c r="Q16" s="24"/>
    </row>
    <row r="17" spans="2:17" x14ac:dyDescent="0.3">
      <c r="B17" s="30">
        <f>'Critérios de Seleção de Fornece'!B17</f>
        <v>12</v>
      </c>
      <c r="C17" s="30">
        <f>'Critérios de Seleção de Fornece'!C17</f>
        <v>0</v>
      </c>
      <c r="D17" s="30">
        <f>'Critérios de Seleção de Fornece'!H17</f>
        <v>0</v>
      </c>
      <c r="E17" s="30">
        <f>'Critérios de Seleção de Fornece'!I17</f>
        <v>0</v>
      </c>
      <c r="F17" s="30" t="e">
        <f>'Critérios de Seleção de Fornece'!L17</f>
        <v>#DIV/0!</v>
      </c>
      <c r="G17" s="30" t="e">
        <f>'Critérios de Seleção de Fornece'!O17</f>
        <v>#DIV/0!</v>
      </c>
      <c r="H17" s="30">
        <f>'Critérios de Seleção de Fornece'!Q17</f>
        <v>0</v>
      </c>
      <c r="I17" s="30" t="e">
        <f>'Critérios de Seleção de Fornece'!T17</f>
        <v>#DIV/0!</v>
      </c>
      <c r="J17" s="30" t="e">
        <f>'Critérios de Seleção de Fornece'!W17</f>
        <v>#DIV/0!</v>
      </c>
      <c r="K17" s="31" t="e">
        <f t="shared" si="0"/>
        <v>#DIV/0!</v>
      </c>
      <c r="L17" s="14"/>
      <c r="M17" s="14"/>
      <c r="N17" s="33">
        <f t="shared" si="1"/>
        <v>3</v>
      </c>
      <c r="O17" s="34" t="e">
        <f t="shared" si="2"/>
        <v>#DIV/0!</v>
      </c>
      <c r="P17" s="35" t="e">
        <f t="shared" si="3"/>
        <v>#DIV/0!</v>
      </c>
      <c r="Q17" s="24"/>
    </row>
    <row r="18" spans="2:17" x14ac:dyDescent="0.3">
      <c r="B18" s="30">
        <f>'Critérios de Seleção de Fornece'!B18</f>
        <v>13</v>
      </c>
      <c r="C18" s="30">
        <f>'Critérios de Seleção de Fornece'!C18</f>
        <v>0</v>
      </c>
      <c r="D18" s="30">
        <f>'Critérios de Seleção de Fornece'!H18</f>
        <v>0</v>
      </c>
      <c r="E18" s="30">
        <f>'Critérios de Seleção de Fornece'!I18</f>
        <v>0</v>
      </c>
      <c r="F18" s="30" t="e">
        <f>'Critérios de Seleção de Fornece'!L18</f>
        <v>#DIV/0!</v>
      </c>
      <c r="G18" s="30" t="e">
        <f>'Critérios de Seleção de Fornece'!O18</f>
        <v>#DIV/0!</v>
      </c>
      <c r="H18" s="30">
        <f>'Critérios de Seleção de Fornece'!Q18</f>
        <v>0</v>
      </c>
      <c r="I18" s="30" t="e">
        <f>'Critérios de Seleção de Fornece'!T18</f>
        <v>#DIV/0!</v>
      </c>
      <c r="J18" s="30" t="e">
        <f>'Critérios de Seleção de Fornece'!W18</f>
        <v>#DIV/0!</v>
      </c>
      <c r="K18" s="31" t="e">
        <f t="shared" si="0"/>
        <v>#DIV/0!</v>
      </c>
      <c r="L18" s="14"/>
      <c r="M18" s="14"/>
      <c r="N18" s="33">
        <f t="shared" si="1"/>
        <v>3</v>
      </c>
      <c r="O18" s="34" t="e">
        <f t="shared" si="2"/>
        <v>#DIV/0!</v>
      </c>
      <c r="P18" s="35" t="e">
        <f t="shared" si="3"/>
        <v>#DIV/0!</v>
      </c>
      <c r="Q18" s="24"/>
    </row>
    <row r="19" spans="2:17" x14ac:dyDescent="0.3">
      <c r="B19" s="30">
        <f>'Critérios de Seleção de Fornece'!B19</f>
        <v>14</v>
      </c>
      <c r="C19" s="30">
        <f>'Critérios de Seleção de Fornece'!C19</f>
        <v>0</v>
      </c>
      <c r="D19" s="30">
        <f>'Critérios de Seleção de Fornece'!H19</f>
        <v>0</v>
      </c>
      <c r="E19" s="30">
        <f>'Critérios de Seleção de Fornece'!I19</f>
        <v>0</v>
      </c>
      <c r="F19" s="30" t="e">
        <f>'Critérios de Seleção de Fornece'!L19</f>
        <v>#DIV/0!</v>
      </c>
      <c r="G19" s="30" t="e">
        <f>'Critérios de Seleção de Fornece'!O19</f>
        <v>#DIV/0!</v>
      </c>
      <c r="H19" s="30">
        <f>'Critérios de Seleção de Fornece'!Q19</f>
        <v>0</v>
      </c>
      <c r="I19" s="30" t="e">
        <f>'Critérios de Seleção de Fornece'!T19</f>
        <v>#DIV/0!</v>
      </c>
      <c r="J19" s="30" t="e">
        <f>'Critérios de Seleção de Fornece'!W19</f>
        <v>#DIV/0!</v>
      </c>
      <c r="K19" s="31" t="e">
        <f t="shared" si="0"/>
        <v>#DIV/0!</v>
      </c>
      <c r="L19" s="14"/>
      <c r="M19" s="14"/>
      <c r="N19" s="33">
        <f t="shared" si="1"/>
        <v>3</v>
      </c>
      <c r="O19" s="34" t="e">
        <f t="shared" si="2"/>
        <v>#DIV/0!</v>
      </c>
      <c r="P19" s="35" t="e">
        <f t="shared" si="3"/>
        <v>#DIV/0!</v>
      </c>
      <c r="Q19" s="24"/>
    </row>
    <row r="20" spans="2:17" x14ac:dyDescent="0.3">
      <c r="B20" s="30">
        <f>'Critérios de Seleção de Fornece'!B20</f>
        <v>15</v>
      </c>
      <c r="C20" s="30">
        <f>'Critérios de Seleção de Fornece'!C20</f>
        <v>0</v>
      </c>
      <c r="D20" s="30">
        <f>'Critérios de Seleção de Fornece'!H20</f>
        <v>0</v>
      </c>
      <c r="E20" s="30">
        <f>'Critérios de Seleção de Fornece'!I20</f>
        <v>0</v>
      </c>
      <c r="F20" s="30" t="e">
        <f>'Critérios de Seleção de Fornece'!L20</f>
        <v>#DIV/0!</v>
      </c>
      <c r="G20" s="30" t="e">
        <f>'Critérios de Seleção de Fornece'!O20</f>
        <v>#DIV/0!</v>
      </c>
      <c r="H20" s="30">
        <f>'Critérios de Seleção de Fornece'!Q20</f>
        <v>0</v>
      </c>
      <c r="I20" s="30" t="e">
        <f>'Critérios de Seleção de Fornece'!T20</f>
        <v>#DIV/0!</v>
      </c>
      <c r="J20" s="30" t="e">
        <f>'Critérios de Seleção de Fornece'!W20</f>
        <v>#DIV/0!</v>
      </c>
      <c r="K20" s="31" t="e">
        <f t="shared" si="0"/>
        <v>#DIV/0!</v>
      </c>
      <c r="L20" s="14"/>
      <c r="M20" s="14"/>
      <c r="N20" s="33">
        <f t="shared" si="1"/>
        <v>3</v>
      </c>
      <c r="O20" s="34" t="e">
        <f t="shared" si="2"/>
        <v>#DIV/0!</v>
      </c>
      <c r="P20" s="35" t="e">
        <f t="shared" si="3"/>
        <v>#DIV/0!</v>
      </c>
      <c r="Q20" s="24"/>
    </row>
    <row r="21" spans="2:17" x14ac:dyDescent="0.3">
      <c r="B21" s="30">
        <f>'Critérios de Seleção de Fornece'!B21</f>
        <v>16</v>
      </c>
      <c r="C21" s="30">
        <f>'Critérios de Seleção de Fornece'!C21</f>
        <v>0</v>
      </c>
      <c r="D21" s="30">
        <f>'Critérios de Seleção de Fornece'!H21</f>
        <v>0</v>
      </c>
      <c r="E21" s="30">
        <f>'Critérios de Seleção de Fornece'!I21</f>
        <v>0</v>
      </c>
      <c r="F21" s="30" t="e">
        <f>'Critérios de Seleção de Fornece'!L21</f>
        <v>#DIV/0!</v>
      </c>
      <c r="G21" s="30" t="e">
        <f>'Critérios de Seleção de Fornece'!O21</f>
        <v>#DIV/0!</v>
      </c>
      <c r="H21" s="30">
        <f>'Critérios de Seleção de Fornece'!Q21</f>
        <v>0</v>
      </c>
      <c r="I21" s="30" t="e">
        <f>'Critérios de Seleção de Fornece'!T21</f>
        <v>#DIV/0!</v>
      </c>
      <c r="J21" s="30" t="e">
        <f>'Critérios de Seleção de Fornece'!W21</f>
        <v>#DIV/0!</v>
      </c>
      <c r="K21" s="31" t="e">
        <f t="shared" si="0"/>
        <v>#DIV/0!</v>
      </c>
      <c r="L21" s="14"/>
      <c r="M21" s="14"/>
      <c r="N21" s="33">
        <f t="shared" si="1"/>
        <v>3</v>
      </c>
      <c r="O21" s="34" t="e">
        <f t="shared" si="2"/>
        <v>#DIV/0!</v>
      </c>
      <c r="P21" s="35" t="e">
        <f t="shared" si="3"/>
        <v>#DIV/0!</v>
      </c>
      <c r="Q21" s="24"/>
    </row>
    <row r="22" spans="2:17" x14ac:dyDescent="0.3">
      <c r="B22" s="30">
        <f>'Critérios de Seleção de Fornece'!B22</f>
        <v>17</v>
      </c>
      <c r="C22" s="30">
        <f>'Critérios de Seleção de Fornece'!C22</f>
        <v>0</v>
      </c>
      <c r="D22" s="30">
        <f>'Critérios de Seleção de Fornece'!H22</f>
        <v>0</v>
      </c>
      <c r="E22" s="30">
        <f>'Critérios de Seleção de Fornece'!I22</f>
        <v>0</v>
      </c>
      <c r="F22" s="30" t="e">
        <f>'Critérios de Seleção de Fornece'!L22</f>
        <v>#DIV/0!</v>
      </c>
      <c r="G22" s="30" t="e">
        <f>'Critérios de Seleção de Fornece'!O22</f>
        <v>#DIV/0!</v>
      </c>
      <c r="H22" s="30">
        <f>'Critérios de Seleção de Fornece'!Q22</f>
        <v>0</v>
      </c>
      <c r="I22" s="30" t="e">
        <f>'Critérios de Seleção de Fornece'!T22</f>
        <v>#DIV/0!</v>
      </c>
      <c r="J22" s="30" t="e">
        <f>'Critérios de Seleção de Fornece'!W22</f>
        <v>#DIV/0!</v>
      </c>
      <c r="K22" s="31" t="e">
        <f t="shared" si="0"/>
        <v>#DIV/0!</v>
      </c>
      <c r="L22" s="14"/>
      <c r="M22" s="14"/>
      <c r="N22" s="33">
        <f t="shared" si="1"/>
        <v>3</v>
      </c>
      <c r="O22" s="34" t="e">
        <f t="shared" si="2"/>
        <v>#DIV/0!</v>
      </c>
      <c r="P22" s="35" t="e">
        <f t="shared" si="3"/>
        <v>#DIV/0!</v>
      </c>
      <c r="Q22" s="24"/>
    </row>
    <row r="23" spans="2:17" x14ac:dyDescent="0.3">
      <c r="B23" s="30">
        <f>'Critérios de Seleção de Fornece'!B23</f>
        <v>18</v>
      </c>
      <c r="C23" s="30">
        <f>'Critérios de Seleção de Fornece'!C23</f>
        <v>0</v>
      </c>
      <c r="D23" s="30">
        <f>'Critérios de Seleção de Fornece'!H23</f>
        <v>0</v>
      </c>
      <c r="E23" s="30">
        <f>'Critérios de Seleção de Fornece'!I23</f>
        <v>0</v>
      </c>
      <c r="F23" s="30" t="e">
        <f>'Critérios de Seleção de Fornece'!L23</f>
        <v>#DIV/0!</v>
      </c>
      <c r="G23" s="30" t="e">
        <f>'Critérios de Seleção de Fornece'!O23</f>
        <v>#DIV/0!</v>
      </c>
      <c r="H23" s="30">
        <f>'Critérios de Seleção de Fornece'!Q23</f>
        <v>0</v>
      </c>
      <c r="I23" s="30" t="e">
        <f>'Critérios de Seleção de Fornece'!T23</f>
        <v>#DIV/0!</v>
      </c>
      <c r="J23" s="30" t="e">
        <f>'Critérios de Seleção de Fornece'!W23</f>
        <v>#DIV/0!</v>
      </c>
      <c r="K23" s="31" t="e">
        <f t="shared" si="0"/>
        <v>#DIV/0!</v>
      </c>
      <c r="L23" s="14"/>
      <c r="M23" s="14"/>
      <c r="N23" s="33">
        <f t="shared" si="1"/>
        <v>3</v>
      </c>
      <c r="O23" s="34" t="e">
        <f t="shared" si="2"/>
        <v>#DIV/0!</v>
      </c>
      <c r="P23" s="35" t="e">
        <f t="shared" si="3"/>
        <v>#DIV/0!</v>
      </c>
      <c r="Q23" s="24"/>
    </row>
    <row r="24" spans="2:17" x14ac:dyDescent="0.3">
      <c r="B24" s="30">
        <f>'Critérios de Seleção de Fornece'!B24</f>
        <v>19</v>
      </c>
      <c r="C24" s="30">
        <f>'Critérios de Seleção de Fornece'!C24</f>
        <v>0</v>
      </c>
      <c r="D24" s="30">
        <f>'Critérios de Seleção de Fornece'!H24</f>
        <v>0</v>
      </c>
      <c r="E24" s="30">
        <f>'Critérios de Seleção de Fornece'!I24</f>
        <v>0</v>
      </c>
      <c r="F24" s="30" t="e">
        <f>'Critérios de Seleção de Fornece'!L24</f>
        <v>#DIV/0!</v>
      </c>
      <c r="G24" s="30" t="e">
        <f>'Critérios de Seleção de Fornece'!O24</f>
        <v>#DIV/0!</v>
      </c>
      <c r="H24" s="30">
        <f>'Critérios de Seleção de Fornece'!Q24</f>
        <v>0</v>
      </c>
      <c r="I24" s="30" t="e">
        <f>'Critérios de Seleção de Fornece'!T24</f>
        <v>#DIV/0!</v>
      </c>
      <c r="J24" s="30" t="e">
        <f>'Critérios de Seleção de Fornece'!W24</f>
        <v>#DIV/0!</v>
      </c>
      <c r="K24" s="31" t="e">
        <f t="shared" si="0"/>
        <v>#DIV/0!</v>
      </c>
      <c r="L24" s="14"/>
      <c r="M24" s="14"/>
      <c r="N24" s="33">
        <f t="shared" si="1"/>
        <v>3</v>
      </c>
      <c r="O24" s="34" t="e">
        <f t="shared" si="2"/>
        <v>#DIV/0!</v>
      </c>
      <c r="P24" s="39" t="e">
        <f t="shared" si="3"/>
        <v>#DIV/0!</v>
      </c>
      <c r="Q24" s="24"/>
    </row>
    <row r="25" spans="2:17" x14ac:dyDescent="0.3">
      <c r="B25" s="30">
        <f>'Critérios de Seleção de Fornece'!B25</f>
        <v>20</v>
      </c>
      <c r="C25" s="30">
        <f>'Critérios de Seleção de Fornece'!C25</f>
        <v>0</v>
      </c>
      <c r="D25" s="30">
        <f>'Critérios de Seleção de Fornece'!H25</f>
        <v>0</v>
      </c>
      <c r="E25" s="30">
        <f>'Critérios de Seleção de Fornece'!I25</f>
        <v>0</v>
      </c>
      <c r="F25" s="30" t="e">
        <f>'Critérios de Seleção de Fornece'!L25</f>
        <v>#DIV/0!</v>
      </c>
      <c r="G25" s="30" t="e">
        <f>'Critérios de Seleção de Fornece'!O25</f>
        <v>#DIV/0!</v>
      </c>
      <c r="H25" s="30">
        <f>'Critérios de Seleção de Fornece'!Q25</f>
        <v>0</v>
      </c>
      <c r="I25" s="30" t="e">
        <f>'Critérios de Seleção de Fornece'!T25</f>
        <v>#DIV/0!</v>
      </c>
      <c r="J25" s="30" t="e">
        <f>'Critérios de Seleção de Fornece'!W25</f>
        <v>#DIV/0!</v>
      </c>
      <c r="K25" s="31" t="e">
        <f t="shared" si="0"/>
        <v>#DIV/0!</v>
      </c>
      <c r="L25" s="14"/>
      <c r="M25" s="14"/>
      <c r="N25" s="33">
        <f t="shared" si="1"/>
        <v>3</v>
      </c>
      <c r="O25" s="34" t="e">
        <f t="shared" si="2"/>
        <v>#DIV/0!</v>
      </c>
      <c r="P25" s="39" t="e">
        <f t="shared" si="3"/>
        <v>#DIV/0!</v>
      </c>
      <c r="Q25" s="24"/>
    </row>
    <row r="26" spans="2:17" x14ac:dyDescent="0.3">
      <c r="B26" s="30">
        <f>'Critérios de Seleção de Fornece'!B26</f>
        <v>21</v>
      </c>
      <c r="C26" s="30">
        <f>'Critérios de Seleção de Fornece'!C26</f>
        <v>0</v>
      </c>
      <c r="D26" s="30">
        <f>'Critérios de Seleção de Fornece'!H26</f>
        <v>0</v>
      </c>
      <c r="E26" s="30">
        <f>'Critérios de Seleção de Fornece'!I26</f>
        <v>0</v>
      </c>
      <c r="F26" s="30" t="e">
        <f>'Critérios de Seleção de Fornece'!L26</f>
        <v>#DIV/0!</v>
      </c>
      <c r="G26" s="30" t="e">
        <f>'Critérios de Seleção de Fornece'!O26</f>
        <v>#DIV/0!</v>
      </c>
      <c r="H26" s="30">
        <f>'Critérios de Seleção de Fornece'!Q26</f>
        <v>0</v>
      </c>
      <c r="I26" s="30" t="e">
        <f>'Critérios de Seleção de Fornece'!T26</f>
        <v>#DIV/0!</v>
      </c>
      <c r="J26" s="30" t="e">
        <f>'Critérios de Seleção de Fornece'!W26</f>
        <v>#DIV/0!</v>
      </c>
      <c r="K26" s="31" t="e">
        <f t="shared" ref="K26:K42" si="4">AVERAGE(D26:J26)</f>
        <v>#DIV/0!</v>
      </c>
      <c r="L26" s="14"/>
      <c r="M26" s="14"/>
      <c r="N26" s="33">
        <f t="shared" ref="N26:N42" si="5">IF(M26&gt;L26,1,IF(M26=L26,3,5))</f>
        <v>3</v>
      </c>
      <c r="O26" s="34" t="e">
        <f t="shared" ref="O26:O42" si="6">((5-K26)/4) + ((N26-3)/20)</f>
        <v>#DIV/0!</v>
      </c>
      <c r="P26" s="39" t="e">
        <f t="shared" ref="P26:P42" si="7">IF(O26&gt;=0.7,$S$10,IF(O26&gt;=0.5,$S$11,$S$12))</f>
        <v>#DIV/0!</v>
      </c>
      <c r="Q26" s="11"/>
    </row>
    <row r="27" spans="2:17" x14ac:dyDescent="0.3">
      <c r="B27" s="30">
        <f>'Critérios de Seleção de Fornece'!B27</f>
        <v>22</v>
      </c>
      <c r="C27" s="30">
        <f>'Critérios de Seleção de Fornece'!C27</f>
        <v>0</v>
      </c>
      <c r="D27" s="30">
        <f>'Critérios de Seleção de Fornece'!H27</f>
        <v>0</v>
      </c>
      <c r="E27" s="30">
        <f>'Critérios de Seleção de Fornece'!I27</f>
        <v>0</v>
      </c>
      <c r="F27" s="30" t="e">
        <f>'Critérios de Seleção de Fornece'!L27</f>
        <v>#DIV/0!</v>
      </c>
      <c r="G27" s="30" t="e">
        <f>'Critérios de Seleção de Fornece'!O27</f>
        <v>#DIV/0!</v>
      </c>
      <c r="H27" s="30">
        <f>'Critérios de Seleção de Fornece'!Q27</f>
        <v>0</v>
      </c>
      <c r="I27" s="30" t="e">
        <f>'Critérios de Seleção de Fornece'!T27</f>
        <v>#DIV/0!</v>
      </c>
      <c r="J27" s="30" t="e">
        <f>'Critérios de Seleção de Fornece'!W27</f>
        <v>#DIV/0!</v>
      </c>
      <c r="K27" s="31" t="e">
        <f t="shared" si="4"/>
        <v>#DIV/0!</v>
      </c>
      <c r="L27" s="14"/>
      <c r="M27" s="14"/>
      <c r="N27" s="33">
        <f t="shared" si="5"/>
        <v>3</v>
      </c>
      <c r="O27" s="34" t="e">
        <f t="shared" si="6"/>
        <v>#DIV/0!</v>
      </c>
      <c r="P27" s="39" t="e">
        <f t="shared" si="7"/>
        <v>#DIV/0!</v>
      </c>
      <c r="Q27" s="11"/>
    </row>
    <row r="28" spans="2:17" x14ac:dyDescent="0.3">
      <c r="B28" s="30">
        <f>'Critérios de Seleção de Fornece'!B28</f>
        <v>23</v>
      </c>
      <c r="C28" s="30">
        <f>'Critérios de Seleção de Fornece'!C28</f>
        <v>0</v>
      </c>
      <c r="D28" s="30">
        <f>'Critérios de Seleção de Fornece'!H28</f>
        <v>0</v>
      </c>
      <c r="E28" s="30">
        <f>'Critérios de Seleção de Fornece'!I28</f>
        <v>0</v>
      </c>
      <c r="F28" s="30" t="e">
        <f>'Critérios de Seleção de Fornece'!L28</f>
        <v>#DIV/0!</v>
      </c>
      <c r="G28" s="30" t="e">
        <f>'Critérios de Seleção de Fornece'!O28</f>
        <v>#DIV/0!</v>
      </c>
      <c r="H28" s="30">
        <f>'Critérios de Seleção de Fornece'!Q28</f>
        <v>0</v>
      </c>
      <c r="I28" s="30" t="e">
        <f>'Critérios de Seleção de Fornece'!T28</f>
        <v>#DIV/0!</v>
      </c>
      <c r="J28" s="30" t="e">
        <f>'Critérios de Seleção de Fornece'!W28</f>
        <v>#DIV/0!</v>
      </c>
      <c r="K28" s="31" t="e">
        <f t="shared" si="4"/>
        <v>#DIV/0!</v>
      </c>
      <c r="L28" s="14"/>
      <c r="M28" s="14"/>
      <c r="N28" s="33">
        <f t="shared" si="5"/>
        <v>3</v>
      </c>
      <c r="O28" s="34" t="e">
        <f t="shared" si="6"/>
        <v>#DIV/0!</v>
      </c>
      <c r="P28" s="39" t="e">
        <f t="shared" si="7"/>
        <v>#DIV/0!</v>
      </c>
      <c r="Q28" s="11"/>
    </row>
    <row r="29" spans="2:17" x14ac:dyDescent="0.3">
      <c r="B29" s="30">
        <f>'Critérios de Seleção de Fornece'!B29</f>
        <v>24</v>
      </c>
      <c r="C29" s="30">
        <f>'Critérios de Seleção de Fornece'!C29</f>
        <v>0</v>
      </c>
      <c r="D29" s="30">
        <f>'Critérios de Seleção de Fornece'!H29</f>
        <v>0</v>
      </c>
      <c r="E29" s="30">
        <f>'Critérios de Seleção de Fornece'!I29</f>
        <v>0</v>
      </c>
      <c r="F29" s="30" t="e">
        <f>'Critérios de Seleção de Fornece'!L29</f>
        <v>#DIV/0!</v>
      </c>
      <c r="G29" s="30" t="e">
        <f>'Critérios de Seleção de Fornece'!O29</f>
        <v>#DIV/0!</v>
      </c>
      <c r="H29" s="30">
        <f>'Critérios de Seleção de Fornece'!Q29</f>
        <v>0</v>
      </c>
      <c r="I29" s="30" t="e">
        <f>'Critérios de Seleção de Fornece'!T29</f>
        <v>#DIV/0!</v>
      </c>
      <c r="J29" s="30" t="e">
        <f>'Critérios de Seleção de Fornece'!W29</f>
        <v>#DIV/0!</v>
      </c>
      <c r="K29" s="31" t="e">
        <f t="shared" si="4"/>
        <v>#DIV/0!</v>
      </c>
      <c r="L29" s="14"/>
      <c r="M29" s="14"/>
      <c r="N29" s="33">
        <f t="shared" si="5"/>
        <v>3</v>
      </c>
      <c r="O29" s="34" t="e">
        <f t="shared" si="6"/>
        <v>#DIV/0!</v>
      </c>
      <c r="P29" s="39" t="e">
        <f t="shared" si="7"/>
        <v>#DIV/0!</v>
      </c>
      <c r="Q29" s="11"/>
    </row>
    <row r="30" spans="2:17" x14ac:dyDescent="0.3">
      <c r="B30" s="30">
        <f>'Critérios de Seleção de Fornece'!B30</f>
        <v>25</v>
      </c>
      <c r="C30" s="30">
        <f>'Critérios de Seleção de Fornece'!C30</f>
        <v>0</v>
      </c>
      <c r="D30" s="30">
        <f>'Critérios de Seleção de Fornece'!H30</f>
        <v>0</v>
      </c>
      <c r="E30" s="30">
        <f>'Critérios de Seleção de Fornece'!I30</f>
        <v>0</v>
      </c>
      <c r="F30" s="30" t="e">
        <f>'Critérios de Seleção de Fornece'!L30</f>
        <v>#DIV/0!</v>
      </c>
      <c r="G30" s="30" t="e">
        <f>'Critérios de Seleção de Fornece'!O30</f>
        <v>#DIV/0!</v>
      </c>
      <c r="H30" s="30">
        <f>'Critérios de Seleção de Fornece'!Q30</f>
        <v>0</v>
      </c>
      <c r="I30" s="30" t="e">
        <f>'Critérios de Seleção de Fornece'!T30</f>
        <v>#DIV/0!</v>
      </c>
      <c r="J30" s="30" t="e">
        <f>'Critérios de Seleção de Fornece'!W30</f>
        <v>#DIV/0!</v>
      </c>
      <c r="K30" s="31" t="e">
        <f t="shared" si="4"/>
        <v>#DIV/0!</v>
      </c>
      <c r="L30" s="14"/>
      <c r="M30" s="14"/>
      <c r="N30" s="33">
        <f t="shared" si="5"/>
        <v>3</v>
      </c>
      <c r="O30" s="34" t="e">
        <f t="shared" si="6"/>
        <v>#DIV/0!</v>
      </c>
      <c r="P30" s="39" t="e">
        <f t="shared" si="7"/>
        <v>#DIV/0!</v>
      </c>
      <c r="Q30" s="11"/>
    </row>
    <row r="31" spans="2:17" x14ac:dyDescent="0.3">
      <c r="B31" s="30">
        <f>'Critérios de Seleção de Fornece'!B31</f>
        <v>26</v>
      </c>
      <c r="C31" s="30">
        <f>'Critérios de Seleção de Fornece'!C31</f>
        <v>0</v>
      </c>
      <c r="D31" s="30">
        <f>'Critérios de Seleção de Fornece'!H31</f>
        <v>0</v>
      </c>
      <c r="E31" s="30">
        <f>'Critérios de Seleção de Fornece'!I31</f>
        <v>0</v>
      </c>
      <c r="F31" s="30" t="e">
        <f>'Critérios de Seleção de Fornece'!L31</f>
        <v>#DIV/0!</v>
      </c>
      <c r="G31" s="30" t="e">
        <f>'Critérios de Seleção de Fornece'!O31</f>
        <v>#DIV/0!</v>
      </c>
      <c r="H31" s="30">
        <f>'Critérios de Seleção de Fornece'!Q31</f>
        <v>0</v>
      </c>
      <c r="I31" s="30" t="e">
        <f>'Critérios de Seleção de Fornece'!T31</f>
        <v>#DIV/0!</v>
      </c>
      <c r="J31" s="30" t="e">
        <f>'Critérios de Seleção de Fornece'!W31</f>
        <v>#DIV/0!</v>
      </c>
      <c r="K31" s="31" t="e">
        <f t="shared" si="4"/>
        <v>#DIV/0!</v>
      </c>
      <c r="L31" s="14"/>
      <c r="M31" s="14"/>
      <c r="N31" s="33">
        <f t="shared" si="5"/>
        <v>3</v>
      </c>
      <c r="O31" s="34" t="e">
        <f t="shared" si="6"/>
        <v>#DIV/0!</v>
      </c>
      <c r="P31" s="39" t="e">
        <f t="shared" si="7"/>
        <v>#DIV/0!</v>
      </c>
      <c r="Q31" s="11"/>
    </row>
    <row r="32" spans="2:17" x14ac:dyDescent="0.3">
      <c r="B32" s="30">
        <f>'Critérios de Seleção de Fornece'!B32</f>
        <v>27</v>
      </c>
      <c r="C32" s="30">
        <f>'Critérios de Seleção de Fornece'!C32</f>
        <v>0</v>
      </c>
      <c r="D32" s="30">
        <f>'Critérios de Seleção de Fornece'!H32</f>
        <v>0</v>
      </c>
      <c r="E32" s="30">
        <f>'Critérios de Seleção de Fornece'!I32</f>
        <v>0</v>
      </c>
      <c r="F32" s="30" t="e">
        <f>'Critérios de Seleção de Fornece'!L32</f>
        <v>#DIV/0!</v>
      </c>
      <c r="G32" s="30" t="e">
        <f>'Critérios de Seleção de Fornece'!O32</f>
        <v>#DIV/0!</v>
      </c>
      <c r="H32" s="30">
        <f>'Critérios de Seleção de Fornece'!Q32</f>
        <v>0</v>
      </c>
      <c r="I32" s="30" t="e">
        <f>'Critérios de Seleção de Fornece'!T32</f>
        <v>#DIV/0!</v>
      </c>
      <c r="J32" s="30" t="e">
        <f>'Critérios de Seleção de Fornece'!W32</f>
        <v>#DIV/0!</v>
      </c>
      <c r="K32" s="31" t="e">
        <f t="shared" si="4"/>
        <v>#DIV/0!</v>
      </c>
      <c r="L32" s="14"/>
      <c r="M32" s="14"/>
      <c r="N32" s="33">
        <f t="shared" si="5"/>
        <v>3</v>
      </c>
      <c r="O32" s="34" t="e">
        <f t="shared" si="6"/>
        <v>#DIV/0!</v>
      </c>
      <c r="P32" s="39" t="e">
        <f t="shared" si="7"/>
        <v>#DIV/0!</v>
      </c>
      <c r="Q32" s="11"/>
    </row>
    <row r="33" spans="2:17" x14ac:dyDescent="0.3">
      <c r="B33" s="30">
        <f>'Critérios de Seleção de Fornece'!B33</f>
        <v>28</v>
      </c>
      <c r="C33" s="30">
        <f>'Critérios de Seleção de Fornece'!C33</f>
        <v>0</v>
      </c>
      <c r="D33" s="30">
        <f>'Critérios de Seleção de Fornece'!H33</f>
        <v>0</v>
      </c>
      <c r="E33" s="30">
        <f>'Critérios de Seleção de Fornece'!I33</f>
        <v>0</v>
      </c>
      <c r="F33" s="30" t="e">
        <f>'Critérios de Seleção de Fornece'!L33</f>
        <v>#DIV/0!</v>
      </c>
      <c r="G33" s="30" t="e">
        <f>'Critérios de Seleção de Fornece'!O33</f>
        <v>#DIV/0!</v>
      </c>
      <c r="H33" s="30">
        <f>'Critérios de Seleção de Fornece'!Q33</f>
        <v>0</v>
      </c>
      <c r="I33" s="30" t="e">
        <f>'Critérios de Seleção de Fornece'!T33</f>
        <v>#DIV/0!</v>
      </c>
      <c r="J33" s="30" t="e">
        <f>'Critérios de Seleção de Fornece'!W33</f>
        <v>#DIV/0!</v>
      </c>
      <c r="K33" s="31" t="e">
        <f t="shared" si="4"/>
        <v>#DIV/0!</v>
      </c>
      <c r="L33" s="14"/>
      <c r="M33" s="14"/>
      <c r="N33" s="33">
        <f t="shared" si="5"/>
        <v>3</v>
      </c>
      <c r="O33" s="34" t="e">
        <f t="shared" si="6"/>
        <v>#DIV/0!</v>
      </c>
      <c r="P33" s="39" t="e">
        <f t="shared" si="7"/>
        <v>#DIV/0!</v>
      </c>
      <c r="Q33" s="11"/>
    </row>
    <row r="34" spans="2:17" x14ac:dyDescent="0.3">
      <c r="B34" s="30">
        <f>'Critérios de Seleção de Fornece'!B34</f>
        <v>29</v>
      </c>
      <c r="C34" s="30">
        <f>'Critérios de Seleção de Fornece'!C34</f>
        <v>0</v>
      </c>
      <c r="D34" s="30">
        <f>'Critérios de Seleção de Fornece'!H34</f>
        <v>0</v>
      </c>
      <c r="E34" s="30">
        <f>'Critérios de Seleção de Fornece'!I34</f>
        <v>0</v>
      </c>
      <c r="F34" s="30" t="e">
        <f>'Critérios de Seleção de Fornece'!L34</f>
        <v>#DIV/0!</v>
      </c>
      <c r="G34" s="30" t="e">
        <f>'Critérios de Seleção de Fornece'!O34</f>
        <v>#DIV/0!</v>
      </c>
      <c r="H34" s="30">
        <f>'Critérios de Seleção de Fornece'!Q34</f>
        <v>0</v>
      </c>
      <c r="I34" s="30" t="e">
        <f>'Critérios de Seleção de Fornece'!T34</f>
        <v>#DIV/0!</v>
      </c>
      <c r="J34" s="30" t="e">
        <f>'Critérios de Seleção de Fornece'!W34</f>
        <v>#DIV/0!</v>
      </c>
      <c r="K34" s="31" t="e">
        <f t="shared" si="4"/>
        <v>#DIV/0!</v>
      </c>
      <c r="L34" s="14"/>
      <c r="M34" s="14"/>
      <c r="N34" s="33">
        <f t="shared" si="5"/>
        <v>3</v>
      </c>
      <c r="O34" s="34" t="e">
        <f t="shared" si="6"/>
        <v>#DIV/0!</v>
      </c>
      <c r="P34" s="39" t="e">
        <f t="shared" si="7"/>
        <v>#DIV/0!</v>
      </c>
      <c r="Q34" s="11"/>
    </row>
    <row r="35" spans="2:17" x14ac:dyDescent="0.3">
      <c r="B35" s="30">
        <f>'Critérios de Seleção de Fornece'!B35</f>
        <v>30</v>
      </c>
      <c r="C35" s="30">
        <f>'Critérios de Seleção de Fornece'!C35</f>
        <v>0</v>
      </c>
      <c r="D35" s="30">
        <f>'Critérios de Seleção de Fornece'!H35</f>
        <v>0</v>
      </c>
      <c r="E35" s="30">
        <f>'Critérios de Seleção de Fornece'!I35</f>
        <v>0</v>
      </c>
      <c r="F35" s="30" t="e">
        <f>'Critérios de Seleção de Fornece'!L35</f>
        <v>#DIV/0!</v>
      </c>
      <c r="G35" s="30" t="e">
        <f>'Critérios de Seleção de Fornece'!O35</f>
        <v>#DIV/0!</v>
      </c>
      <c r="H35" s="30">
        <f>'Critérios de Seleção de Fornece'!Q35</f>
        <v>0</v>
      </c>
      <c r="I35" s="30" t="e">
        <f>'Critérios de Seleção de Fornece'!T35</f>
        <v>#DIV/0!</v>
      </c>
      <c r="J35" s="30" t="e">
        <f>'Critérios de Seleção de Fornece'!W35</f>
        <v>#DIV/0!</v>
      </c>
      <c r="K35" s="31" t="e">
        <f t="shared" si="4"/>
        <v>#DIV/0!</v>
      </c>
      <c r="L35" s="14"/>
      <c r="M35" s="14"/>
      <c r="N35" s="33">
        <f t="shared" si="5"/>
        <v>3</v>
      </c>
      <c r="O35" s="34" t="e">
        <f t="shared" si="6"/>
        <v>#DIV/0!</v>
      </c>
      <c r="P35" s="39" t="e">
        <f t="shared" si="7"/>
        <v>#DIV/0!</v>
      </c>
      <c r="Q35" s="11"/>
    </row>
    <row r="36" spans="2:17" x14ac:dyDescent="0.3">
      <c r="B36" s="30">
        <f>'Critérios de Seleção de Fornece'!B36</f>
        <v>31</v>
      </c>
      <c r="C36" s="30">
        <f>'Critérios de Seleção de Fornece'!C36</f>
        <v>0</v>
      </c>
      <c r="D36" s="30">
        <f>'Critérios de Seleção de Fornece'!H36</f>
        <v>0</v>
      </c>
      <c r="E36" s="30">
        <f>'Critérios de Seleção de Fornece'!I36</f>
        <v>0</v>
      </c>
      <c r="F36" s="30" t="e">
        <f>'Critérios de Seleção de Fornece'!L36</f>
        <v>#DIV/0!</v>
      </c>
      <c r="G36" s="30" t="e">
        <f>'Critérios de Seleção de Fornece'!O36</f>
        <v>#DIV/0!</v>
      </c>
      <c r="H36" s="30">
        <f>'Critérios de Seleção de Fornece'!Q36</f>
        <v>0</v>
      </c>
      <c r="I36" s="30" t="e">
        <f>'Critérios de Seleção de Fornece'!T36</f>
        <v>#DIV/0!</v>
      </c>
      <c r="J36" s="30" t="e">
        <f>'Critérios de Seleção de Fornece'!W36</f>
        <v>#DIV/0!</v>
      </c>
      <c r="K36" s="31" t="e">
        <f t="shared" si="4"/>
        <v>#DIV/0!</v>
      </c>
      <c r="L36" s="14"/>
      <c r="M36" s="14"/>
      <c r="N36" s="33">
        <f t="shared" si="5"/>
        <v>3</v>
      </c>
      <c r="O36" s="34" t="e">
        <f t="shared" si="6"/>
        <v>#DIV/0!</v>
      </c>
      <c r="P36" s="39" t="e">
        <f t="shared" si="7"/>
        <v>#DIV/0!</v>
      </c>
      <c r="Q36" s="11"/>
    </row>
    <row r="37" spans="2:17" x14ac:dyDescent="0.3">
      <c r="B37" s="30">
        <f>'Critérios de Seleção de Fornece'!B37</f>
        <v>32</v>
      </c>
      <c r="C37" s="30">
        <f>'Critérios de Seleção de Fornece'!C37</f>
        <v>0</v>
      </c>
      <c r="D37" s="30">
        <f>'Critérios de Seleção de Fornece'!H37</f>
        <v>0</v>
      </c>
      <c r="E37" s="30">
        <f>'Critérios de Seleção de Fornece'!I37</f>
        <v>0</v>
      </c>
      <c r="F37" s="30" t="e">
        <f>'Critérios de Seleção de Fornece'!L37</f>
        <v>#DIV/0!</v>
      </c>
      <c r="G37" s="30" t="e">
        <f>'Critérios de Seleção de Fornece'!O37</f>
        <v>#DIV/0!</v>
      </c>
      <c r="H37" s="30">
        <f>'Critérios de Seleção de Fornece'!Q37</f>
        <v>0</v>
      </c>
      <c r="I37" s="30" t="e">
        <f>'Critérios de Seleção de Fornece'!T37</f>
        <v>#DIV/0!</v>
      </c>
      <c r="J37" s="30" t="e">
        <f>'Critérios de Seleção de Fornece'!W37</f>
        <v>#DIV/0!</v>
      </c>
      <c r="K37" s="31" t="e">
        <f t="shared" si="4"/>
        <v>#DIV/0!</v>
      </c>
      <c r="L37" s="14"/>
      <c r="M37" s="14"/>
      <c r="N37" s="33">
        <f t="shared" si="5"/>
        <v>3</v>
      </c>
      <c r="O37" s="34" t="e">
        <f t="shared" si="6"/>
        <v>#DIV/0!</v>
      </c>
      <c r="P37" s="39" t="e">
        <f t="shared" si="7"/>
        <v>#DIV/0!</v>
      </c>
      <c r="Q37" s="11"/>
    </row>
    <row r="38" spans="2:17" x14ac:dyDescent="0.3">
      <c r="B38" s="30">
        <f>'Critérios de Seleção de Fornece'!B38</f>
        <v>33</v>
      </c>
      <c r="C38" s="30">
        <f>'Critérios de Seleção de Fornece'!C38</f>
        <v>0</v>
      </c>
      <c r="D38" s="30">
        <f>'Critérios de Seleção de Fornece'!H38</f>
        <v>0</v>
      </c>
      <c r="E38" s="30">
        <f>'Critérios de Seleção de Fornece'!I38</f>
        <v>0</v>
      </c>
      <c r="F38" s="30" t="e">
        <f>'Critérios de Seleção de Fornece'!L38</f>
        <v>#DIV/0!</v>
      </c>
      <c r="G38" s="30" t="e">
        <f>'Critérios de Seleção de Fornece'!O38</f>
        <v>#DIV/0!</v>
      </c>
      <c r="H38" s="30">
        <f>'Critérios de Seleção de Fornece'!Q38</f>
        <v>0</v>
      </c>
      <c r="I38" s="30" t="e">
        <f>'Critérios de Seleção de Fornece'!T38</f>
        <v>#DIV/0!</v>
      </c>
      <c r="J38" s="30" t="e">
        <f>'Critérios de Seleção de Fornece'!W38</f>
        <v>#DIV/0!</v>
      </c>
      <c r="K38" s="31" t="e">
        <f t="shared" si="4"/>
        <v>#DIV/0!</v>
      </c>
      <c r="L38" s="14"/>
      <c r="M38" s="14"/>
      <c r="N38" s="33">
        <f t="shared" si="5"/>
        <v>3</v>
      </c>
      <c r="O38" s="34" t="e">
        <f t="shared" si="6"/>
        <v>#DIV/0!</v>
      </c>
      <c r="P38" s="39" t="e">
        <f t="shared" si="7"/>
        <v>#DIV/0!</v>
      </c>
      <c r="Q38" s="11"/>
    </row>
    <row r="39" spans="2:17" x14ac:dyDescent="0.3">
      <c r="B39" s="30">
        <f>'Critérios de Seleção de Fornece'!B39</f>
        <v>34</v>
      </c>
      <c r="C39" s="30">
        <f>'Critérios de Seleção de Fornece'!C39</f>
        <v>0</v>
      </c>
      <c r="D39" s="30">
        <f>'Critérios de Seleção de Fornece'!H39</f>
        <v>0</v>
      </c>
      <c r="E39" s="30">
        <f>'Critérios de Seleção de Fornece'!I39</f>
        <v>0</v>
      </c>
      <c r="F39" s="30" t="e">
        <f>'Critérios de Seleção de Fornece'!L39</f>
        <v>#DIV/0!</v>
      </c>
      <c r="G39" s="30" t="e">
        <f>'Critérios de Seleção de Fornece'!O39</f>
        <v>#DIV/0!</v>
      </c>
      <c r="H39" s="30">
        <f>'Critérios de Seleção de Fornece'!Q39</f>
        <v>0</v>
      </c>
      <c r="I39" s="30" t="e">
        <f>'Critérios de Seleção de Fornece'!T39</f>
        <v>#DIV/0!</v>
      </c>
      <c r="J39" s="30" t="e">
        <f>'Critérios de Seleção de Fornece'!W39</f>
        <v>#DIV/0!</v>
      </c>
      <c r="K39" s="31" t="e">
        <f t="shared" si="4"/>
        <v>#DIV/0!</v>
      </c>
      <c r="L39" s="14"/>
      <c r="M39" s="14"/>
      <c r="N39" s="33">
        <f t="shared" si="5"/>
        <v>3</v>
      </c>
      <c r="O39" s="34" t="e">
        <f t="shared" si="6"/>
        <v>#DIV/0!</v>
      </c>
      <c r="P39" s="39" t="e">
        <f t="shared" si="7"/>
        <v>#DIV/0!</v>
      </c>
      <c r="Q39" s="11"/>
    </row>
    <row r="40" spans="2:17" x14ac:dyDescent="0.3">
      <c r="B40" s="30">
        <f>'Critérios de Seleção de Fornece'!B40</f>
        <v>35</v>
      </c>
      <c r="C40" s="30">
        <f>'Critérios de Seleção de Fornece'!C40</f>
        <v>0</v>
      </c>
      <c r="D40" s="30">
        <f>'Critérios de Seleção de Fornece'!H40</f>
        <v>0</v>
      </c>
      <c r="E40" s="30">
        <f>'Critérios de Seleção de Fornece'!I40</f>
        <v>0</v>
      </c>
      <c r="F40" s="30" t="e">
        <f>'Critérios de Seleção de Fornece'!L40</f>
        <v>#DIV/0!</v>
      </c>
      <c r="G40" s="30" t="e">
        <f>'Critérios de Seleção de Fornece'!O40</f>
        <v>#DIV/0!</v>
      </c>
      <c r="H40" s="30">
        <f>'Critérios de Seleção de Fornece'!Q40</f>
        <v>0</v>
      </c>
      <c r="I40" s="30" t="e">
        <f>'Critérios de Seleção de Fornece'!T40</f>
        <v>#DIV/0!</v>
      </c>
      <c r="J40" s="30" t="e">
        <f>'Critérios de Seleção de Fornece'!W40</f>
        <v>#DIV/0!</v>
      </c>
      <c r="K40" s="31" t="e">
        <f t="shared" si="4"/>
        <v>#DIV/0!</v>
      </c>
      <c r="L40" s="14"/>
      <c r="M40" s="14"/>
      <c r="N40" s="33">
        <f t="shared" si="5"/>
        <v>3</v>
      </c>
      <c r="O40" s="34" t="e">
        <f t="shared" si="6"/>
        <v>#DIV/0!</v>
      </c>
      <c r="P40" s="39" t="e">
        <f t="shared" si="7"/>
        <v>#DIV/0!</v>
      </c>
      <c r="Q40" s="11"/>
    </row>
    <row r="41" spans="2:17" x14ac:dyDescent="0.3">
      <c r="B41" s="30">
        <f>'Critérios de Seleção de Fornece'!B41</f>
        <v>36</v>
      </c>
      <c r="C41" s="30">
        <f>'Critérios de Seleção de Fornece'!C41</f>
        <v>0</v>
      </c>
      <c r="D41" s="30">
        <f>'Critérios de Seleção de Fornece'!H41</f>
        <v>0</v>
      </c>
      <c r="E41" s="30">
        <f>'Critérios de Seleção de Fornece'!I41</f>
        <v>0</v>
      </c>
      <c r="F41" s="30" t="e">
        <f>'Critérios de Seleção de Fornece'!L41</f>
        <v>#DIV/0!</v>
      </c>
      <c r="G41" s="30" t="e">
        <f>'Critérios de Seleção de Fornece'!O41</f>
        <v>#DIV/0!</v>
      </c>
      <c r="H41" s="30">
        <f>'Critérios de Seleção de Fornece'!Q41</f>
        <v>0</v>
      </c>
      <c r="I41" s="30" t="e">
        <f>'Critérios de Seleção de Fornece'!T41</f>
        <v>#DIV/0!</v>
      </c>
      <c r="J41" s="30" t="e">
        <f>'Critérios de Seleção de Fornece'!W41</f>
        <v>#DIV/0!</v>
      </c>
      <c r="K41" s="31" t="e">
        <f t="shared" si="4"/>
        <v>#DIV/0!</v>
      </c>
      <c r="L41" s="14"/>
      <c r="M41" s="14"/>
      <c r="N41" s="33">
        <f t="shared" si="5"/>
        <v>3</v>
      </c>
      <c r="O41" s="34" t="e">
        <f t="shared" si="6"/>
        <v>#DIV/0!</v>
      </c>
      <c r="P41" s="39" t="e">
        <f t="shared" si="7"/>
        <v>#DIV/0!</v>
      </c>
      <c r="Q41" s="11"/>
    </row>
    <row r="42" spans="2:17" x14ac:dyDescent="0.3">
      <c r="B42" s="30">
        <f>'Critérios de Seleção de Fornece'!B42</f>
        <v>37</v>
      </c>
      <c r="C42" s="30">
        <f>'Critérios de Seleção de Fornece'!C42</f>
        <v>0</v>
      </c>
      <c r="D42" s="30">
        <f>'Critérios de Seleção de Fornece'!H42</f>
        <v>0</v>
      </c>
      <c r="E42" s="30">
        <f>'Critérios de Seleção de Fornece'!I42</f>
        <v>0</v>
      </c>
      <c r="F42" s="30" t="e">
        <f>'Critérios de Seleção de Fornece'!L42</f>
        <v>#DIV/0!</v>
      </c>
      <c r="G42" s="30" t="e">
        <f>'Critérios de Seleção de Fornece'!O42</f>
        <v>#DIV/0!</v>
      </c>
      <c r="H42" s="30">
        <f>'Critérios de Seleção de Fornece'!Q42</f>
        <v>0</v>
      </c>
      <c r="I42" s="30" t="e">
        <f>'Critérios de Seleção de Fornece'!T42</f>
        <v>#DIV/0!</v>
      </c>
      <c r="J42" s="30" t="e">
        <f>'Critérios de Seleção de Fornece'!W42</f>
        <v>#DIV/0!</v>
      </c>
      <c r="K42" s="31" t="e">
        <f t="shared" si="4"/>
        <v>#DIV/0!</v>
      </c>
      <c r="L42" s="14"/>
      <c r="M42" s="14"/>
      <c r="N42" s="33">
        <f t="shared" si="5"/>
        <v>3</v>
      </c>
      <c r="O42" s="34" t="e">
        <f t="shared" si="6"/>
        <v>#DIV/0!</v>
      </c>
      <c r="P42" s="39" t="e">
        <f t="shared" si="7"/>
        <v>#DIV/0!</v>
      </c>
      <c r="Q42" s="11"/>
    </row>
    <row r="43" spans="2:17" x14ac:dyDescent="0.3">
      <c r="B43" s="30">
        <f>'Critérios de Seleção de Fornece'!B43</f>
        <v>38</v>
      </c>
      <c r="C43" s="30">
        <f>'Critérios de Seleção de Fornece'!C43</f>
        <v>0</v>
      </c>
      <c r="D43" s="30">
        <f>'Critérios de Seleção de Fornece'!H43</f>
        <v>0</v>
      </c>
      <c r="E43" s="30">
        <f>'Critérios de Seleção de Fornece'!I43</f>
        <v>0</v>
      </c>
      <c r="F43" s="30" t="e">
        <f>'Critérios de Seleção de Fornece'!L43</f>
        <v>#DIV/0!</v>
      </c>
      <c r="G43" s="30" t="e">
        <f>'Critérios de Seleção de Fornece'!O43</f>
        <v>#DIV/0!</v>
      </c>
      <c r="H43" s="30">
        <f>'Critérios de Seleção de Fornece'!Q43</f>
        <v>0</v>
      </c>
      <c r="I43" s="30" t="e">
        <f>'Critérios de Seleção de Fornece'!T43</f>
        <v>#DIV/0!</v>
      </c>
      <c r="J43" s="30" t="e">
        <f>'Critérios de Seleção de Fornece'!W43</f>
        <v>#DIV/0!</v>
      </c>
      <c r="K43" s="31" t="e">
        <f t="shared" ref="K43:K106" si="8">AVERAGE(D43:J43)</f>
        <v>#DIV/0!</v>
      </c>
      <c r="L43" s="14"/>
      <c r="M43" s="14"/>
      <c r="N43" s="33">
        <f t="shared" ref="N43:N106" si="9">IF(M43&gt;L43,1,IF(M43=L43,3,5))</f>
        <v>3</v>
      </c>
      <c r="O43" s="34" t="e">
        <f t="shared" ref="O43:O106" si="10">((5-K43)/4) + ((N43-3)/20)</f>
        <v>#DIV/0!</v>
      </c>
      <c r="P43" s="39" t="e">
        <f t="shared" ref="P43:P106" si="11">IF(O43&gt;=0.7,$S$10,IF(O43&gt;=0.5,$S$11,$S$12))</f>
        <v>#DIV/0!</v>
      </c>
      <c r="Q43" s="11"/>
    </row>
    <row r="44" spans="2:17" x14ac:dyDescent="0.3">
      <c r="B44" s="30">
        <f>'Critérios de Seleção de Fornece'!B44</f>
        <v>39</v>
      </c>
      <c r="C44" s="30">
        <f>'Critérios de Seleção de Fornece'!C44</f>
        <v>0</v>
      </c>
      <c r="D44" s="30">
        <f>'Critérios de Seleção de Fornece'!H44</f>
        <v>0</v>
      </c>
      <c r="E44" s="30">
        <f>'Critérios de Seleção de Fornece'!I44</f>
        <v>0</v>
      </c>
      <c r="F44" s="30" t="e">
        <f>'Critérios de Seleção de Fornece'!L44</f>
        <v>#DIV/0!</v>
      </c>
      <c r="G44" s="30" t="e">
        <f>'Critérios de Seleção de Fornece'!O44</f>
        <v>#DIV/0!</v>
      </c>
      <c r="H44" s="30">
        <f>'Critérios de Seleção de Fornece'!Q44</f>
        <v>0</v>
      </c>
      <c r="I44" s="30" t="e">
        <f>'Critérios de Seleção de Fornece'!T44</f>
        <v>#DIV/0!</v>
      </c>
      <c r="J44" s="30" t="e">
        <f>'Critérios de Seleção de Fornece'!W44</f>
        <v>#DIV/0!</v>
      </c>
      <c r="K44" s="31" t="e">
        <f t="shared" si="8"/>
        <v>#DIV/0!</v>
      </c>
      <c r="L44" s="14"/>
      <c r="M44" s="14"/>
      <c r="N44" s="33">
        <f t="shared" si="9"/>
        <v>3</v>
      </c>
      <c r="O44" s="34" t="e">
        <f t="shared" si="10"/>
        <v>#DIV/0!</v>
      </c>
      <c r="P44" s="39" t="e">
        <f t="shared" si="11"/>
        <v>#DIV/0!</v>
      </c>
      <c r="Q44" s="11"/>
    </row>
    <row r="45" spans="2:17" x14ac:dyDescent="0.3">
      <c r="B45" s="30">
        <f>'Critérios de Seleção de Fornece'!B45</f>
        <v>40</v>
      </c>
      <c r="C45" s="30">
        <f>'Critérios de Seleção de Fornece'!C45</f>
        <v>0</v>
      </c>
      <c r="D45" s="30">
        <f>'Critérios de Seleção de Fornece'!H45</f>
        <v>0</v>
      </c>
      <c r="E45" s="30">
        <f>'Critérios de Seleção de Fornece'!I45</f>
        <v>0</v>
      </c>
      <c r="F45" s="30" t="e">
        <f>'Critérios de Seleção de Fornece'!L45</f>
        <v>#DIV/0!</v>
      </c>
      <c r="G45" s="30" t="e">
        <f>'Critérios de Seleção de Fornece'!O45</f>
        <v>#DIV/0!</v>
      </c>
      <c r="H45" s="30">
        <f>'Critérios de Seleção de Fornece'!Q45</f>
        <v>0</v>
      </c>
      <c r="I45" s="30" t="e">
        <f>'Critérios de Seleção de Fornece'!T45</f>
        <v>#DIV/0!</v>
      </c>
      <c r="J45" s="30" t="e">
        <f>'Critérios de Seleção de Fornece'!W45</f>
        <v>#DIV/0!</v>
      </c>
      <c r="K45" s="31" t="e">
        <f t="shared" si="8"/>
        <v>#DIV/0!</v>
      </c>
      <c r="L45" s="14"/>
      <c r="M45" s="14"/>
      <c r="N45" s="33">
        <f t="shared" si="9"/>
        <v>3</v>
      </c>
      <c r="O45" s="34" t="e">
        <f t="shared" si="10"/>
        <v>#DIV/0!</v>
      </c>
      <c r="P45" s="39" t="e">
        <f t="shared" si="11"/>
        <v>#DIV/0!</v>
      </c>
      <c r="Q45" s="11"/>
    </row>
    <row r="46" spans="2:17" x14ac:dyDescent="0.3">
      <c r="B46" s="30">
        <f>'Critérios de Seleção de Fornece'!B46</f>
        <v>41</v>
      </c>
      <c r="C46" s="30">
        <f>'Critérios de Seleção de Fornece'!C46</f>
        <v>0</v>
      </c>
      <c r="D46" s="30">
        <f>'Critérios de Seleção de Fornece'!H46</f>
        <v>0</v>
      </c>
      <c r="E46" s="30">
        <f>'Critérios de Seleção de Fornece'!I46</f>
        <v>0</v>
      </c>
      <c r="F46" s="30" t="e">
        <f>'Critérios de Seleção de Fornece'!L46</f>
        <v>#DIV/0!</v>
      </c>
      <c r="G46" s="30" t="e">
        <f>'Critérios de Seleção de Fornece'!O46</f>
        <v>#DIV/0!</v>
      </c>
      <c r="H46" s="30">
        <f>'Critérios de Seleção de Fornece'!Q46</f>
        <v>0</v>
      </c>
      <c r="I46" s="30" t="e">
        <f>'Critérios de Seleção de Fornece'!T46</f>
        <v>#DIV/0!</v>
      </c>
      <c r="J46" s="30" t="e">
        <f>'Critérios de Seleção de Fornece'!W46</f>
        <v>#DIV/0!</v>
      </c>
      <c r="K46" s="31" t="e">
        <f t="shared" si="8"/>
        <v>#DIV/0!</v>
      </c>
      <c r="L46" s="14"/>
      <c r="M46" s="14"/>
      <c r="N46" s="33">
        <f t="shared" si="9"/>
        <v>3</v>
      </c>
      <c r="O46" s="34" t="e">
        <f t="shared" si="10"/>
        <v>#DIV/0!</v>
      </c>
      <c r="P46" s="39" t="e">
        <f t="shared" si="11"/>
        <v>#DIV/0!</v>
      </c>
      <c r="Q46" s="11"/>
    </row>
    <row r="47" spans="2:17" x14ac:dyDescent="0.3">
      <c r="B47" s="30">
        <f>'Critérios de Seleção de Fornece'!B47</f>
        <v>42</v>
      </c>
      <c r="C47" s="30">
        <f>'Critérios de Seleção de Fornece'!C47</f>
        <v>0</v>
      </c>
      <c r="D47" s="30">
        <f>'Critérios de Seleção de Fornece'!H47</f>
        <v>0</v>
      </c>
      <c r="E47" s="30">
        <f>'Critérios de Seleção de Fornece'!I47</f>
        <v>0</v>
      </c>
      <c r="F47" s="30" t="e">
        <f>'Critérios de Seleção de Fornece'!L47</f>
        <v>#DIV/0!</v>
      </c>
      <c r="G47" s="30" t="e">
        <f>'Critérios de Seleção de Fornece'!O47</f>
        <v>#DIV/0!</v>
      </c>
      <c r="H47" s="30">
        <f>'Critérios de Seleção de Fornece'!Q47</f>
        <v>0</v>
      </c>
      <c r="I47" s="30" t="e">
        <f>'Critérios de Seleção de Fornece'!T47</f>
        <v>#DIV/0!</v>
      </c>
      <c r="J47" s="30" t="e">
        <f>'Critérios de Seleção de Fornece'!W47</f>
        <v>#DIV/0!</v>
      </c>
      <c r="K47" s="31" t="e">
        <f t="shared" si="8"/>
        <v>#DIV/0!</v>
      </c>
      <c r="L47" s="14"/>
      <c r="M47" s="14"/>
      <c r="N47" s="33">
        <f t="shared" si="9"/>
        <v>3</v>
      </c>
      <c r="O47" s="34" t="e">
        <f t="shared" si="10"/>
        <v>#DIV/0!</v>
      </c>
      <c r="P47" s="39" t="e">
        <f t="shared" si="11"/>
        <v>#DIV/0!</v>
      </c>
      <c r="Q47" s="11"/>
    </row>
    <row r="48" spans="2:17" x14ac:dyDescent="0.3">
      <c r="B48" s="30">
        <f>'Critérios de Seleção de Fornece'!B48</f>
        <v>43</v>
      </c>
      <c r="C48" s="30">
        <f>'Critérios de Seleção de Fornece'!C48</f>
        <v>0</v>
      </c>
      <c r="D48" s="30">
        <f>'Critérios de Seleção de Fornece'!H48</f>
        <v>0</v>
      </c>
      <c r="E48" s="30">
        <f>'Critérios de Seleção de Fornece'!I48</f>
        <v>0</v>
      </c>
      <c r="F48" s="30" t="e">
        <f>'Critérios de Seleção de Fornece'!L48</f>
        <v>#DIV/0!</v>
      </c>
      <c r="G48" s="30" t="e">
        <f>'Critérios de Seleção de Fornece'!O48</f>
        <v>#DIV/0!</v>
      </c>
      <c r="H48" s="30">
        <f>'Critérios de Seleção de Fornece'!Q48</f>
        <v>0</v>
      </c>
      <c r="I48" s="30" t="e">
        <f>'Critérios de Seleção de Fornece'!T48</f>
        <v>#DIV/0!</v>
      </c>
      <c r="J48" s="30" t="e">
        <f>'Critérios de Seleção de Fornece'!W48</f>
        <v>#DIV/0!</v>
      </c>
      <c r="K48" s="31" t="e">
        <f t="shared" si="8"/>
        <v>#DIV/0!</v>
      </c>
      <c r="L48" s="14"/>
      <c r="M48" s="14"/>
      <c r="N48" s="33">
        <f t="shared" si="9"/>
        <v>3</v>
      </c>
      <c r="O48" s="34" t="e">
        <f t="shared" si="10"/>
        <v>#DIV/0!</v>
      </c>
      <c r="P48" s="39" t="e">
        <f t="shared" si="11"/>
        <v>#DIV/0!</v>
      </c>
      <c r="Q48" s="11"/>
    </row>
    <row r="49" spans="2:17" x14ac:dyDescent="0.3">
      <c r="B49" s="30">
        <f>'Critérios de Seleção de Fornece'!B49</f>
        <v>44</v>
      </c>
      <c r="C49" s="30">
        <f>'Critérios de Seleção de Fornece'!C49</f>
        <v>0</v>
      </c>
      <c r="D49" s="30">
        <f>'Critérios de Seleção de Fornece'!H49</f>
        <v>0</v>
      </c>
      <c r="E49" s="30">
        <f>'Critérios de Seleção de Fornece'!I49</f>
        <v>0</v>
      </c>
      <c r="F49" s="30" t="e">
        <f>'Critérios de Seleção de Fornece'!L49</f>
        <v>#DIV/0!</v>
      </c>
      <c r="G49" s="30" t="e">
        <f>'Critérios de Seleção de Fornece'!O49</f>
        <v>#DIV/0!</v>
      </c>
      <c r="H49" s="30">
        <f>'Critérios de Seleção de Fornece'!Q49</f>
        <v>0</v>
      </c>
      <c r="I49" s="30" t="e">
        <f>'Critérios de Seleção de Fornece'!T49</f>
        <v>#DIV/0!</v>
      </c>
      <c r="J49" s="30" t="e">
        <f>'Critérios de Seleção de Fornece'!W49</f>
        <v>#DIV/0!</v>
      </c>
      <c r="K49" s="31" t="e">
        <f t="shared" si="8"/>
        <v>#DIV/0!</v>
      </c>
      <c r="L49" s="14"/>
      <c r="M49" s="14"/>
      <c r="N49" s="33">
        <f t="shared" si="9"/>
        <v>3</v>
      </c>
      <c r="O49" s="34" t="e">
        <f t="shared" si="10"/>
        <v>#DIV/0!</v>
      </c>
      <c r="P49" s="39" t="e">
        <f t="shared" si="11"/>
        <v>#DIV/0!</v>
      </c>
      <c r="Q49" s="11"/>
    </row>
    <row r="50" spans="2:17" x14ac:dyDescent="0.3">
      <c r="B50" s="30">
        <f>'Critérios de Seleção de Fornece'!B50</f>
        <v>45</v>
      </c>
      <c r="C50" s="30">
        <f>'Critérios de Seleção de Fornece'!C50</f>
        <v>0</v>
      </c>
      <c r="D50" s="30">
        <f>'Critérios de Seleção de Fornece'!H50</f>
        <v>0</v>
      </c>
      <c r="E50" s="30">
        <f>'Critérios de Seleção de Fornece'!I50</f>
        <v>0</v>
      </c>
      <c r="F50" s="30" t="e">
        <f>'Critérios de Seleção de Fornece'!L50</f>
        <v>#DIV/0!</v>
      </c>
      <c r="G50" s="30" t="e">
        <f>'Critérios de Seleção de Fornece'!O50</f>
        <v>#DIV/0!</v>
      </c>
      <c r="H50" s="30">
        <f>'Critérios de Seleção de Fornece'!Q50</f>
        <v>0</v>
      </c>
      <c r="I50" s="30" t="e">
        <f>'Critérios de Seleção de Fornece'!T50</f>
        <v>#DIV/0!</v>
      </c>
      <c r="J50" s="30" t="e">
        <f>'Critérios de Seleção de Fornece'!W50</f>
        <v>#DIV/0!</v>
      </c>
      <c r="K50" s="31" t="e">
        <f t="shared" si="8"/>
        <v>#DIV/0!</v>
      </c>
      <c r="L50" s="14"/>
      <c r="M50" s="14"/>
      <c r="N50" s="33">
        <f t="shared" si="9"/>
        <v>3</v>
      </c>
      <c r="O50" s="34" t="e">
        <f t="shared" si="10"/>
        <v>#DIV/0!</v>
      </c>
      <c r="P50" s="39" t="e">
        <f t="shared" si="11"/>
        <v>#DIV/0!</v>
      </c>
      <c r="Q50" s="11"/>
    </row>
    <row r="51" spans="2:17" x14ac:dyDescent="0.3">
      <c r="B51" s="30">
        <f>'Critérios de Seleção de Fornece'!B51</f>
        <v>46</v>
      </c>
      <c r="C51" s="30">
        <f>'Critérios de Seleção de Fornece'!C51</f>
        <v>0</v>
      </c>
      <c r="D51" s="30">
        <f>'Critérios de Seleção de Fornece'!H51</f>
        <v>0</v>
      </c>
      <c r="E51" s="30">
        <f>'Critérios de Seleção de Fornece'!I51</f>
        <v>0</v>
      </c>
      <c r="F51" s="30" t="e">
        <f>'Critérios de Seleção de Fornece'!L51</f>
        <v>#DIV/0!</v>
      </c>
      <c r="G51" s="30" t="e">
        <f>'Critérios de Seleção de Fornece'!O51</f>
        <v>#DIV/0!</v>
      </c>
      <c r="H51" s="30">
        <f>'Critérios de Seleção de Fornece'!Q51</f>
        <v>0</v>
      </c>
      <c r="I51" s="30" t="e">
        <f>'Critérios de Seleção de Fornece'!T51</f>
        <v>#DIV/0!</v>
      </c>
      <c r="J51" s="30" t="e">
        <f>'Critérios de Seleção de Fornece'!W51</f>
        <v>#DIV/0!</v>
      </c>
      <c r="K51" s="31" t="e">
        <f t="shared" si="8"/>
        <v>#DIV/0!</v>
      </c>
      <c r="L51" s="14"/>
      <c r="M51" s="14"/>
      <c r="N51" s="33">
        <f t="shared" si="9"/>
        <v>3</v>
      </c>
      <c r="O51" s="34" t="e">
        <f t="shared" si="10"/>
        <v>#DIV/0!</v>
      </c>
      <c r="P51" s="39" t="e">
        <f t="shared" si="11"/>
        <v>#DIV/0!</v>
      </c>
      <c r="Q51" s="11"/>
    </row>
    <row r="52" spans="2:17" x14ac:dyDescent="0.3">
      <c r="B52" s="30">
        <f>'Critérios de Seleção de Fornece'!B52</f>
        <v>47</v>
      </c>
      <c r="C52" s="30">
        <f>'Critérios de Seleção de Fornece'!C52</f>
        <v>0</v>
      </c>
      <c r="D52" s="30">
        <f>'Critérios de Seleção de Fornece'!H52</f>
        <v>0</v>
      </c>
      <c r="E52" s="30">
        <f>'Critérios de Seleção de Fornece'!I52</f>
        <v>0</v>
      </c>
      <c r="F52" s="30" t="e">
        <f>'Critérios de Seleção de Fornece'!L52</f>
        <v>#DIV/0!</v>
      </c>
      <c r="G52" s="30" t="e">
        <f>'Critérios de Seleção de Fornece'!O52</f>
        <v>#DIV/0!</v>
      </c>
      <c r="H52" s="30">
        <f>'Critérios de Seleção de Fornece'!Q52</f>
        <v>0</v>
      </c>
      <c r="I52" s="30" t="e">
        <f>'Critérios de Seleção de Fornece'!T52</f>
        <v>#DIV/0!</v>
      </c>
      <c r="J52" s="30" t="e">
        <f>'Critérios de Seleção de Fornece'!W52</f>
        <v>#DIV/0!</v>
      </c>
      <c r="K52" s="31" t="e">
        <f t="shared" si="8"/>
        <v>#DIV/0!</v>
      </c>
      <c r="L52" s="14"/>
      <c r="M52" s="14"/>
      <c r="N52" s="33">
        <f t="shared" si="9"/>
        <v>3</v>
      </c>
      <c r="O52" s="34" t="e">
        <f t="shared" si="10"/>
        <v>#DIV/0!</v>
      </c>
      <c r="P52" s="39" t="e">
        <f t="shared" si="11"/>
        <v>#DIV/0!</v>
      </c>
      <c r="Q52" s="11"/>
    </row>
    <row r="53" spans="2:17" x14ac:dyDescent="0.3">
      <c r="B53" s="30">
        <f>'Critérios de Seleção de Fornece'!B53</f>
        <v>48</v>
      </c>
      <c r="C53" s="30">
        <f>'Critérios de Seleção de Fornece'!C53</f>
        <v>0</v>
      </c>
      <c r="D53" s="30">
        <f>'Critérios de Seleção de Fornece'!H53</f>
        <v>0</v>
      </c>
      <c r="E53" s="30">
        <f>'Critérios de Seleção de Fornece'!I53</f>
        <v>0</v>
      </c>
      <c r="F53" s="30" t="e">
        <f>'Critérios de Seleção de Fornece'!L53</f>
        <v>#DIV/0!</v>
      </c>
      <c r="G53" s="30" t="e">
        <f>'Critérios de Seleção de Fornece'!O53</f>
        <v>#DIV/0!</v>
      </c>
      <c r="H53" s="30">
        <f>'Critérios de Seleção de Fornece'!Q53</f>
        <v>0</v>
      </c>
      <c r="I53" s="30" t="e">
        <f>'Critérios de Seleção de Fornece'!T53</f>
        <v>#DIV/0!</v>
      </c>
      <c r="J53" s="30" t="e">
        <f>'Critérios de Seleção de Fornece'!W53</f>
        <v>#DIV/0!</v>
      </c>
      <c r="K53" s="31" t="e">
        <f t="shared" si="8"/>
        <v>#DIV/0!</v>
      </c>
      <c r="L53" s="14"/>
      <c r="M53" s="14"/>
      <c r="N53" s="33">
        <f t="shared" si="9"/>
        <v>3</v>
      </c>
      <c r="O53" s="34" t="e">
        <f t="shared" si="10"/>
        <v>#DIV/0!</v>
      </c>
      <c r="P53" s="39" t="e">
        <f t="shared" si="11"/>
        <v>#DIV/0!</v>
      </c>
      <c r="Q53" s="11"/>
    </row>
    <row r="54" spans="2:17" x14ac:dyDescent="0.3">
      <c r="B54" s="30">
        <f>'Critérios de Seleção de Fornece'!B54</f>
        <v>49</v>
      </c>
      <c r="C54" s="30">
        <f>'Critérios de Seleção de Fornece'!C54</f>
        <v>0</v>
      </c>
      <c r="D54" s="30">
        <f>'Critérios de Seleção de Fornece'!H54</f>
        <v>0</v>
      </c>
      <c r="E54" s="30">
        <f>'Critérios de Seleção de Fornece'!I54</f>
        <v>0</v>
      </c>
      <c r="F54" s="30" t="e">
        <f>'Critérios de Seleção de Fornece'!L54</f>
        <v>#DIV/0!</v>
      </c>
      <c r="G54" s="30" t="e">
        <f>'Critérios de Seleção de Fornece'!O54</f>
        <v>#DIV/0!</v>
      </c>
      <c r="H54" s="30">
        <f>'Critérios de Seleção de Fornece'!Q54</f>
        <v>0</v>
      </c>
      <c r="I54" s="30" t="e">
        <f>'Critérios de Seleção de Fornece'!T54</f>
        <v>#DIV/0!</v>
      </c>
      <c r="J54" s="30" t="e">
        <f>'Critérios de Seleção de Fornece'!W54</f>
        <v>#DIV/0!</v>
      </c>
      <c r="K54" s="31" t="e">
        <f t="shared" si="8"/>
        <v>#DIV/0!</v>
      </c>
      <c r="L54" s="14"/>
      <c r="M54" s="14"/>
      <c r="N54" s="33">
        <f t="shared" si="9"/>
        <v>3</v>
      </c>
      <c r="O54" s="34" t="e">
        <f t="shared" si="10"/>
        <v>#DIV/0!</v>
      </c>
      <c r="P54" s="39" t="e">
        <f t="shared" si="11"/>
        <v>#DIV/0!</v>
      </c>
      <c r="Q54" s="11"/>
    </row>
    <row r="55" spans="2:17" x14ac:dyDescent="0.3">
      <c r="B55" s="30">
        <f>'Critérios de Seleção de Fornece'!B55</f>
        <v>50</v>
      </c>
      <c r="C55" s="30">
        <f>'Critérios de Seleção de Fornece'!C55</f>
        <v>0</v>
      </c>
      <c r="D55" s="30">
        <f>'Critérios de Seleção de Fornece'!H55</f>
        <v>0</v>
      </c>
      <c r="E55" s="30">
        <f>'Critérios de Seleção de Fornece'!I55</f>
        <v>0</v>
      </c>
      <c r="F55" s="30" t="e">
        <f>'Critérios de Seleção de Fornece'!L55</f>
        <v>#DIV/0!</v>
      </c>
      <c r="G55" s="30" t="e">
        <f>'Critérios de Seleção de Fornece'!O55</f>
        <v>#DIV/0!</v>
      </c>
      <c r="H55" s="30">
        <f>'Critérios de Seleção de Fornece'!Q55</f>
        <v>0</v>
      </c>
      <c r="I55" s="30" t="e">
        <f>'Critérios de Seleção de Fornece'!T55</f>
        <v>#DIV/0!</v>
      </c>
      <c r="J55" s="30" t="e">
        <f>'Critérios de Seleção de Fornece'!W55</f>
        <v>#DIV/0!</v>
      </c>
      <c r="K55" s="31" t="e">
        <f t="shared" si="8"/>
        <v>#DIV/0!</v>
      </c>
      <c r="L55" s="14"/>
      <c r="M55" s="14"/>
      <c r="N55" s="33">
        <f t="shared" si="9"/>
        <v>3</v>
      </c>
      <c r="O55" s="34" t="e">
        <f t="shared" si="10"/>
        <v>#DIV/0!</v>
      </c>
      <c r="P55" s="39" t="e">
        <f t="shared" si="11"/>
        <v>#DIV/0!</v>
      </c>
      <c r="Q55" s="11"/>
    </row>
    <row r="56" spans="2:17" x14ac:dyDescent="0.3">
      <c r="B56" s="30">
        <f>'Critérios de Seleção de Fornece'!B56</f>
        <v>51</v>
      </c>
      <c r="C56" s="30">
        <f>'Critérios de Seleção de Fornece'!C56</f>
        <v>0</v>
      </c>
      <c r="D56" s="30">
        <f>'Critérios de Seleção de Fornece'!H56</f>
        <v>0</v>
      </c>
      <c r="E56" s="30">
        <f>'Critérios de Seleção de Fornece'!I56</f>
        <v>0</v>
      </c>
      <c r="F56" s="30" t="e">
        <f>'Critérios de Seleção de Fornece'!L56</f>
        <v>#DIV/0!</v>
      </c>
      <c r="G56" s="30" t="e">
        <f>'Critérios de Seleção de Fornece'!O56</f>
        <v>#DIV/0!</v>
      </c>
      <c r="H56" s="30">
        <f>'Critérios de Seleção de Fornece'!Q56</f>
        <v>0</v>
      </c>
      <c r="I56" s="30" t="e">
        <f>'Critérios de Seleção de Fornece'!T56</f>
        <v>#DIV/0!</v>
      </c>
      <c r="J56" s="30" t="e">
        <f>'Critérios de Seleção de Fornece'!W56</f>
        <v>#DIV/0!</v>
      </c>
      <c r="K56" s="31" t="e">
        <f t="shared" si="8"/>
        <v>#DIV/0!</v>
      </c>
      <c r="L56" s="14"/>
      <c r="M56" s="14"/>
      <c r="N56" s="33">
        <f t="shared" si="9"/>
        <v>3</v>
      </c>
      <c r="O56" s="34" t="e">
        <f t="shared" si="10"/>
        <v>#DIV/0!</v>
      </c>
      <c r="P56" s="39" t="e">
        <f t="shared" si="11"/>
        <v>#DIV/0!</v>
      </c>
      <c r="Q56" s="11"/>
    </row>
    <row r="57" spans="2:17" x14ac:dyDescent="0.3">
      <c r="B57" s="30">
        <f>'Critérios de Seleção de Fornece'!B57</f>
        <v>52</v>
      </c>
      <c r="C57" s="30">
        <f>'Critérios de Seleção de Fornece'!C57</f>
        <v>0</v>
      </c>
      <c r="D57" s="30">
        <f>'Critérios de Seleção de Fornece'!H57</f>
        <v>0</v>
      </c>
      <c r="E57" s="30">
        <f>'Critérios de Seleção de Fornece'!I57</f>
        <v>0</v>
      </c>
      <c r="F57" s="30" t="e">
        <f>'Critérios de Seleção de Fornece'!L57</f>
        <v>#DIV/0!</v>
      </c>
      <c r="G57" s="30" t="e">
        <f>'Critérios de Seleção de Fornece'!O57</f>
        <v>#DIV/0!</v>
      </c>
      <c r="H57" s="30">
        <f>'Critérios de Seleção de Fornece'!Q57</f>
        <v>0</v>
      </c>
      <c r="I57" s="30" t="e">
        <f>'Critérios de Seleção de Fornece'!T57</f>
        <v>#DIV/0!</v>
      </c>
      <c r="J57" s="30" t="e">
        <f>'Critérios de Seleção de Fornece'!W57</f>
        <v>#DIV/0!</v>
      </c>
      <c r="K57" s="31" t="e">
        <f t="shared" si="8"/>
        <v>#DIV/0!</v>
      </c>
      <c r="L57" s="14"/>
      <c r="M57" s="14"/>
      <c r="N57" s="33">
        <f t="shared" si="9"/>
        <v>3</v>
      </c>
      <c r="O57" s="34" t="e">
        <f t="shared" si="10"/>
        <v>#DIV/0!</v>
      </c>
      <c r="P57" s="39" t="e">
        <f t="shared" si="11"/>
        <v>#DIV/0!</v>
      </c>
      <c r="Q57" s="11"/>
    </row>
    <row r="58" spans="2:17" x14ac:dyDescent="0.3">
      <c r="B58" s="30">
        <f>'Critérios de Seleção de Fornece'!B58</f>
        <v>53</v>
      </c>
      <c r="C58" s="30">
        <f>'Critérios de Seleção de Fornece'!C58</f>
        <v>0</v>
      </c>
      <c r="D58" s="30">
        <f>'Critérios de Seleção de Fornece'!H58</f>
        <v>0</v>
      </c>
      <c r="E58" s="30">
        <f>'Critérios de Seleção de Fornece'!I58</f>
        <v>0</v>
      </c>
      <c r="F58" s="30" t="e">
        <f>'Critérios de Seleção de Fornece'!L58</f>
        <v>#DIV/0!</v>
      </c>
      <c r="G58" s="30" t="e">
        <f>'Critérios de Seleção de Fornece'!O58</f>
        <v>#DIV/0!</v>
      </c>
      <c r="H58" s="30">
        <f>'Critérios de Seleção de Fornece'!Q58</f>
        <v>0</v>
      </c>
      <c r="I58" s="30" t="e">
        <f>'Critérios de Seleção de Fornece'!T58</f>
        <v>#DIV/0!</v>
      </c>
      <c r="J58" s="30" t="e">
        <f>'Critérios de Seleção de Fornece'!W58</f>
        <v>#DIV/0!</v>
      </c>
      <c r="K58" s="31" t="e">
        <f t="shared" si="8"/>
        <v>#DIV/0!</v>
      </c>
      <c r="L58" s="14"/>
      <c r="M58" s="14"/>
      <c r="N58" s="33">
        <f t="shared" si="9"/>
        <v>3</v>
      </c>
      <c r="O58" s="34" t="e">
        <f t="shared" si="10"/>
        <v>#DIV/0!</v>
      </c>
      <c r="P58" s="39" t="e">
        <f t="shared" si="11"/>
        <v>#DIV/0!</v>
      </c>
      <c r="Q58" s="11"/>
    </row>
    <row r="59" spans="2:17" x14ac:dyDescent="0.3">
      <c r="B59" s="30">
        <f>'Critérios de Seleção de Fornece'!B59</f>
        <v>54</v>
      </c>
      <c r="C59" s="30">
        <f>'Critérios de Seleção de Fornece'!C59</f>
        <v>0</v>
      </c>
      <c r="D59" s="30">
        <f>'Critérios de Seleção de Fornece'!H59</f>
        <v>0</v>
      </c>
      <c r="E59" s="30">
        <f>'Critérios de Seleção de Fornece'!I59</f>
        <v>0</v>
      </c>
      <c r="F59" s="30" t="e">
        <f>'Critérios de Seleção de Fornece'!L59</f>
        <v>#DIV/0!</v>
      </c>
      <c r="G59" s="30" t="e">
        <f>'Critérios de Seleção de Fornece'!O59</f>
        <v>#DIV/0!</v>
      </c>
      <c r="H59" s="30">
        <f>'Critérios de Seleção de Fornece'!Q59</f>
        <v>0</v>
      </c>
      <c r="I59" s="30" t="e">
        <f>'Critérios de Seleção de Fornece'!T59</f>
        <v>#DIV/0!</v>
      </c>
      <c r="J59" s="30" t="e">
        <f>'Critérios de Seleção de Fornece'!W59</f>
        <v>#DIV/0!</v>
      </c>
      <c r="K59" s="31" t="e">
        <f t="shared" si="8"/>
        <v>#DIV/0!</v>
      </c>
      <c r="L59" s="14"/>
      <c r="M59" s="14"/>
      <c r="N59" s="33">
        <f t="shared" si="9"/>
        <v>3</v>
      </c>
      <c r="O59" s="34" t="e">
        <f t="shared" si="10"/>
        <v>#DIV/0!</v>
      </c>
      <c r="P59" s="39" t="e">
        <f t="shared" si="11"/>
        <v>#DIV/0!</v>
      </c>
      <c r="Q59" s="11"/>
    </row>
    <row r="60" spans="2:17" x14ac:dyDescent="0.3">
      <c r="B60" s="30">
        <f>'Critérios de Seleção de Fornece'!B60</f>
        <v>55</v>
      </c>
      <c r="C60" s="30">
        <f>'Critérios de Seleção de Fornece'!C60</f>
        <v>0</v>
      </c>
      <c r="D60" s="30">
        <f>'Critérios de Seleção de Fornece'!H60</f>
        <v>0</v>
      </c>
      <c r="E60" s="30">
        <f>'Critérios de Seleção de Fornece'!I60</f>
        <v>0</v>
      </c>
      <c r="F60" s="30" t="e">
        <f>'Critérios de Seleção de Fornece'!L60</f>
        <v>#DIV/0!</v>
      </c>
      <c r="G60" s="30" t="e">
        <f>'Critérios de Seleção de Fornece'!O60</f>
        <v>#DIV/0!</v>
      </c>
      <c r="H60" s="30">
        <f>'Critérios de Seleção de Fornece'!Q60</f>
        <v>0</v>
      </c>
      <c r="I60" s="30" t="e">
        <f>'Critérios de Seleção de Fornece'!T60</f>
        <v>#DIV/0!</v>
      </c>
      <c r="J60" s="30" t="e">
        <f>'Critérios de Seleção de Fornece'!W60</f>
        <v>#DIV/0!</v>
      </c>
      <c r="K60" s="31" t="e">
        <f t="shared" si="8"/>
        <v>#DIV/0!</v>
      </c>
      <c r="L60" s="14"/>
      <c r="M60" s="14"/>
      <c r="N60" s="33">
        <f t="shared" si="9"/>
        <v>3</v>
      </c>
      <c r="O60" s="34" t="e">
        <f t="shared" si="10"/>
        <v>#DIV/0!</v>
      </c>
      <c r="P60" s="39" t="e">
        <f t="shared" si="11"/>
        <v>#DIV/0!</v>
      </c>
      <c r="Q60" s="11"/>
    </row>
    <row r="61" spans="2:17" x14ac:dyDescent="0.3">
      <c r="B61" s="30">
        <f>'Critérios de Seleção de Fornece'!B61</f>
        <v>56</v>
      </c>
      <c r="C61" s="30">
        <f>'Critérios de Seleção de Fornece'!C61</f>
        <v>0</v>
      </c>
      <c r="D61" s="30">
        <f>'Critérios de Seleção de Fornece'!H61</f>
        <v>0</v>
      </c>
      <c r="E61" s="30">
        <f>'Critérios de Seleção de Fornece'!I61</f>
        <v>0</v>
      </c>
      <c r="F61" s="30" t="e">
        <f>'Critérios de Seleção de Fornece'!L61</f>
        <v>#DIV/0!</v>
      </c>
      <c r="G61" s="30" t="e">
        <f>'Critérios de Seleção de Fornece'!O61</f>
        <v>#DIV/0!</v>
      </c>
      <c r="H61" s="30">
        <f>'Critérios de Seleção de Fornece'!Q61</f>
        <v>0</v>
      </c>
      <c r="I61" s="30" t="e">
        <f>'Critérios de Seleção de Fornece'!T61</f>
        <v>#DIV/0!</v>
      </c>
      <c r="J61" s="30" t="e">
        <f>'Critérios de Seleção de Fornece'!W61</f>
        <v>#DIV/0!</v>
      </c>
      <c r="K61" s="31" t="e">
        <f t="shared" si="8"/>
        <v>#DIV/0!</v>
      </c>
      <c r="L61" s="14"/>
      <c r="M61" s="14"/>
      <c r="N61" s="33">
        <f t="shared" si="9"/>
        <v>3</v>
      </c>
      <c r="O61" s="34" t="e">
        <f t="shared" si="10"/>
        <v>#DIV/0!</v>
      </c>
      <c r="P61" s="39" t="e">
        <f t="shared" si="11"/>
        <v>#DIV/0!</v>
      </c>
      <c r="Q61" s="11"/>
    </row>
    <row r="62" spans="2:17" x14ac:dyDescent="0.3">
      <c r="B62" s="30">
        <f>'Critérios de Seleção de Fornece'!B62</f>
        <v>57</v>
      </c>
      <c r="C62" s="30">
        <f>'Critérios de Seleção de Fornece'!C62</f>
        <v>0</v>
      </c>
      <c r="D62" s="30">
        <f>'Critérios de Seleção de Fornece'!H62</f>
        <v>0</v>
      </c>
      <c r="E62" s="30">
        <f>'Critérios de Seleção de Fornece'!I62</f>
        <v>0</v>
      </c>
      <c r="F62" s="30" t="e">
        <f>'Critérios de Seleção de Fornece'!L62</f>
        <v>#DIV/0!</v>
      </c>
      <c r="G62" s="30" t="e">
        <f>'Critérios de Seleção de Fornece'!O62</f>
        <v>#DIV/0!</v>
      </c>
      <c r="H62" s="30">
        <f>'Critérios de Seleção de Fornece'!Q62</f>
        <v>0</v>
      </c>
      <c r="I62" s="30" t="e">
        <f>'Critérios de Seleção de Fornece'!T62</f>
        <v>#DIV/0!</v>
      </c>
      <c r="J62" s="30" t="e">
        <f>'Critérios de Seleção de Fornece'!W62</f>
        <v>#DIV/0!</v>
      </c>
      <c r="K62" s="31" t="e">
        <f t="shared" si="8"/>
        <v>#DIV/0!</v>
      </c>
      <c r="L62" s="14"/>
      <c r="M62" s="14"/>
      <c r="N62" s="33">
        <f t="shared" si="9"/>
        <v>3</v>
      </c>
      <c r="O62" s="34" t="e">
        <f t="shared" si="10"/>
        <v>#DIV/0!</v>
      </c>
      <c r="P62" s="39" t="e">
        <f t="shared" si="11"/>
        <v>#DIV/0!</v>
      </c>
      <c r="Q62" s="11"/>
    </row>
    <row r="63" spans="2:17" x14ac:dyDescent="0.3">
      <c r="B63" s="30">
        <f>'Critérios de Seleção de Fornece'!B63</f>
        <v>58</v>
      </c>
      <c r="C63" s="30">
        <f>'Critérios de Seleção de Fornece'!C63</f>
        <v>0</v>
      </c>
      <c r="D63" s="30">
        <f>'Critérios de Seleção de Fornece'!H63</f>
        <v>0</v>
      </c>
      <c r="E63" s="30">
        <f>'Critérios de Seleção de Fornece'!I63</f>
        <v>0</v>
      </c>
      <c r="F63" s="30" t="e">
        <f>'Critérios de Seleção de Fornece'!L63</f>
        <v>#DIV/0!</v>
      </c>
      <c r="G63" s="30" t="e">
        <f>'Critérios de Seleção de Fornece'!O63</f>
        <v>#DIV/0!</v>
      </c>
      <c r="H63" s="30">
        <f>'Critérios de Seleção de Fornece'!Q63</f>
        <v>0</v>
      </c>
      <c r="I63" s="30" t="e">
        <f>'Critérios de Seleção de Fornece'!T63</f>
        <v>#DIV/0!</v>
      </c>
      <c r="J63" s="30" t="e">
        <f>'Critérios de Seleção de Fornece'!W63</f>
        <v>#DIV/0!</v>
      </c>
      <c r="K63" s="31" t="e">
        <f t="shared" si="8"/>
        <v>#DIV/0!</v>
      </c>
      <c r="L63" s="14"/>
      <c r="M63" s="14"/>
      <c r="N63" s="33">
        <f t="shared" si="9"/>
        <v>3</v>
      </c>
      <c r="O63" s="34" t="e">
        <f t="shared" si="10"/>
        <v>#DIV/0!</v>
      </c>
      <c r="P63" s="39" t="e">
        <f t="shared" si="11"/>
        <v>#DIV/0!</v>
      </c>
      <c r="Q63" s="11"/>
    </row>
    <row r="64" spans="2:17" x14ac:dyDescent="0.3">
      <c r="B64" s="30">
        <f>'Critérios de Seleção de Fornece'!B64</f>
        <v>59</v>
      </c>
      <c r="C64" s="30">
        <f>'Critérios de Seleção de Fornece'!C64</f>
        <v>0</v>
      </c>
      <c r="D64" s="30">
        <f>'Critérios de Seleção de Fornece'!H64</f>
        <v>0</v>
      </c>
      <c r="E64" s="30">
        <f>'Critérios de Seleção de Fornece'!I64</f>
        <v>0</v>
      </c>
      <c r="F64" s="30" t="e">
        <f>'Critérios de Seleção de Fornece'!L64</f>
        <v>#DIV/0!</v>
      </c>
      <c r="G64" s="30" t="e">
        <f>'Critérios de Seleção de Fornece'!O64</f>
        <v>#DIV/0!</v>
      </c>
      <c r="H64" s="30">
        <f>'Critérios de Seleção de Fornece'!Q64</f>
        <v>0</v>
      </c>
      <c r="I64" s="30" t="e">
        <f>'Critérios de Seleção de Fornece'!T64</f>
        <v>#DIV/0!</v>
      </c>
      <c r="J64" s="30" t="e">
        <f>'Critérios de Seleção de Fornece'!W64</f>
        <v>#DIV/0!</v>
      </c>
      <c r="K64" s="31" t="e">
        <f t="shared" si="8"/>
        <v>#DIV/0!</v>
      </c>
      <c r="L64" s="14"/>
      <c r="M64" s="14"/>
      <c r="N64" s="33">
        <f t="shared" si="9"/>
        <v>3</v>
      </c>
      <c r="O64" s="34" t="e">
        <f t="shared" si="10"/>
        <v>#DIV/0!</v>
      </c>
      <c r="P64" s="39" t="e">
        <f t="shared" si="11"/>
        <v>#DIV/0!</v>
      </c>
      <c r="Q64" s="11"/>
    </row>
    <row r="65" spans="2:17" x14ac:dyDescent="0.3">
      <c r="B65" s="30">
        <f>'Critérios de Seleção de Fornece'!B65</f>
        <v>60</v>
      </c>
      <c r="C65" s="30">
        <f>'Critérios de Seleção de Fornece'!C65</f>
        <v>0</v>
      </c>
      <c r="D65" s="30">
        <f>'Critérios de Seleção de Fornece'!H65</f>
        <v>0</v>
      </c>
      <c r="E65" s="30">
        <f>'Critérios de Seleção de Fornece'!I65</f>
        <v>0</v>
      </c>
      <c r="F65" s="30" t="e">
        <f>'Critérios de Seleção de Fornece'!L65</f>
        <v>#DIV/0!</v>
      </c>
      <c r="G65" s="30" t="e">
        <f>'Critérios de Seleção de Fornece'!O65</f>
        <v>#DIV/0!</v>
      </c>
      <c r="H65" s="30">
        <f>'Critérios de Seleção de Fornece'!Q65</f>
        <v>0</v>
      </c>
      <c r="I65" s="30" t="e">
        <f>'Critérios de Seleção de Fornece'!T65</f>
        <v>#DIV/0!</v>
      </c>
      <c r="J65" s="30" t="e">
        <f>'Critérios de Seleção de Fornece'!W65</f>
        <v>#DIV/0!</v>
      </c>
      <c r="K65" s="31" t="e">
        <f t="shared" si="8"/>
        <v>#DIV/0!</v>
      </c>
      <c r="L65" s="14"/>
      <c r="M65" s="14"/>
      <c r="N65" s="33">
        <f t="shared" si="9"/>
        <v>3</v>
      </c>
      <c r="O65" s="34" t="e">
        <f t="shared" si="10"/>
        <v>#DIV/0!</v>
      </c>
      <c r="P65" s="39" t="e">
        <f t="shared" si="11"/>
        <v>#DIV/0!</v>
      </c>
      <c r="Q65" s="11"/>
    </row>
    <row r="66" spans="2:17" x14ac:dyDescent="0.3">
      <c r="B66" s="30">
        <f>'Critérios de Seleção de Fornece'!B66</f>
        <v>61</v>
      </c>
      <c r="C66" s="30">
        <f>'Critérios de Seleção de Fornece'!C66</f>
        <v>0</v>
      </c>
      <c r="D66" s="30">
        <f>'Critérios de Seleção de Fornece'!H66</f>
        <v>0</v>
      </c>
      <c r="E66" s="30">
        <f>'Critérios de Seleção de Fornece'!I66</f>
        <v>0</v>
      </c>
      <c r="F66" s="30" t="e">
        <f>'Critérios de Seleção de Fornece'!L66</f>
        <v>#DIV/0!</v>
      </c>
      <c r="G66" s="30" t="e">
        <f>'Critérios de Seleção de Fornece'!O66</f>
        <v>#DIV/0!</v>
      </c>
      <c r="H66" s="30">
        <f>'Critérios de Seleção de Fornece'!Q66</f>
        <v>0</v>
      </c>
      <c r="I66" s="30" t="e">
        <f>'Critérios de Seleção de Fornece'!T66</f>
        <v>#DIV/0!</v>
      </c>
      <c r="J66" s="30" t="e">
        <f>'Critérios de Seleção de Fornece'!W66</f>
        <v>#DIV/0!</v>
      </c>
      <c r="K66" s="31" t="e">
        <f t="shared" si="8"/>
        <v>#DIV/0!</v>
      </c>
      <c r="L66" s="14"/>
      <c r="M66" s="14"/>
      <c r="N66" s="33">
        <f t="shared" si="9"/>
        <v>3</v>
      </c>
      <c r="O66" s="34" t="e">
        <f t="shared" si="10"/>
        <v>#DIV/0!</v>
      </c>
      <c r="P66" s="39" t="e">
        <f t="shared" si="11"/>
        <v>#DIV/0!</v>
      </c>
      <c r="Q66" s="11"/>
    </row>
    <row r="67" spans="2:17" x14ac:dyDescent="0.3">
      <c r="B67" s="30">
        <f>'Critérios de Seleção de Fornece'!B67</f>
        <v>62</v>
      </c>
      <c r="C67" s="30">
        <f>'Critérios de Seleção de Fornece'!C67</f>
        <v>0</v>
      </c>
      <c r="D67" s="30">
        <f>'Critérios de Seleção de Fornece'!H67</f>
        <v>0</v>
      </c>
      <c r="E67" s="30">
        <f>'Critérios de Seleção de Fornece'!I67</f>
        <v>0</v>
      </c>
      <c r="F67" s="30" t="e">
        <f>'Critérios de Seleção de Fornece'!L67</f>
        <v>#DIV/0!</v>
      </c>
      <c r="G67" s="30" t="e">
        <f>'Critérios de Seleção de Fornece'!O67</f>
        <v>#DIV/0!</v>
      </c>
      <c r="H67" s="30">
        <f>'Critérios de Seleção de Fornece'!Q67</f>
        <v>0</v>
      </c>
      <c r="I67" s="30" t="e">
        <f>'Critérios de Seleção de Fornece'!T67</f>
        <v>#DIV/0!</v>
      </c>
      <c r="J67" s="30" t="e">
        <f>'Critérios de Seleção de Fornece'!W67</f>
        <v>#DIV/0!</v>
      </c>
      <c r="K67" s="31" t="e">
        <f t="shared" si="8"/>
        <v>#DIV/0!</v>
      </c>
      <c r="L67" s="14"/>
      <c r="M67" s="14"/>
      <c r="N67" s="33">
        <f t="shared" si="9"/>
        <v>3</v>
      </c>
      <c r="O67" s="34" t="e">
        <f t="shared" si="10"/>
        <v>#DIV/0!</v>
      </c>
      <c r="P67" s="39" t="e">
        <f t="shared" si="11"/>
        <v>#DIV/0!</v>
      </c>
      <c r="Q67" s="11"/>
    </row>
    <row r="68" spans="2:17" x14ac:dyDescent="0.3">
      <c r="B68" s="30">
        <f>'Critérios de Seleção de Fornece'!B68</f>
        <v>63</v>
      </c>
      <c r="C68" s="30">
        <f>'Critérios de Seleção de Fornece'!C68</f>
        <v>0</v>
      </c>
      <c r="D68" s="30">
        <f>'Critérios de Seleção de Fornece'!H68</f>
        <v>0</v>
      </c>
      <c r="E68" s="30">
        <f>'Critérios de Seleção de Fornece'!I68</f>
        <v>0</v>
      </c>
      <c r="F68" s="30" t="e">
        <f>'Critérios de Seleção de Fornece'!L68</f>
        <v>#DIV/0!</v>
      </c>
      <c r="G68" s="30" t="e">
        <f>'Critérios de Seleção de Fornece'!O68</f>
        <v>#DIV/0!</v>
      </c>
      <c r="H68" s="30">
        <f>'Critérios de Seleção de Fornece'!Q68</f>
        <v>0</v>
      </c>
      <c r="I68" s="30" t="e">
        <f>'Critérios de Seleção de Fornece'!T68</f>
        <v>#DIV/0!</v>
      </c>
      <c r="J68" s="30" t="e">
        <f>'Critérios de Seleção de Fornece'!W68</f>
        <v>#DIV/0!</v>
      </c>
      <c r="K68" s="31" t="e">
        <f t="shared" si="8"/>
        <v>#DIV/0!</v>
      </c>
      <c r="L68" s="14"/>
      <c r="M68" s="14"/>
      <c r="N68" s="33">
        <f t="shared" si="9"/>
        <v>3</v>
      </c>
      <c r="O68" s="34" t="e">
        <f t="shared" si="10"/>
        <v>#DIV/0!</v>
      </c>
      <c r="P68" s="39" t="e">
        <f t="shared" si="11"/>
        <v>#DIV/0!</v>
      </c>
      <c r="Q68" s="11"/>
    </row>
    <row r="69" spans="2:17" x14ac:dyDescent="0.3">
      <c r="B69" s="30">
        <f>'Critérios de Seleção de Fornece'!B69</f>
        <v>64</v>
      </c>
      <c r="C69" s="30">
        <f>'Critérios de Seleção de Fornece'!C69</f>
        <v>0</v>
      </c>
      <c r="D69" s="30">
        <f>'Critérios de Seleção de Fornece'!H69</f>
        <v>0</v>
      </c>
      <c r="E69" s="30">
        <f>'Critérios de Seleção de Fornece'!I69</f>
        <v>0</v>
      </c>
      <c r="F69" s="30" t="e">
        <f>'Critérios de Seleção de Fornece'!L69</f>
        <v>#DIV/0!</v>
      </c>
      <c r="G69" s="30" t="e">
        <f>'Critérios de Seleção de Fornece'!O69</f>
        <v>#DIV/0!</v>
      </c>
      <c r="H69" s="30">
        <f>'Critérios de Seleção de Fornece'!Q69</f>
        <v>0</v>
      </c>
      <c r="I69" s="30" t="e">
        <f>'Critérios de Seleção de Fornece'!T69</f>
        <v>#DIV/0!</v>
      </c>
      <c r="J69" s="30" t="e">
        <f>'Critérios de Seleção de Fornece'!W69</f>
        <v>#DIV/0!</v>
      </c>
      <c r="K69" s="31" t="e">
        <f t="shared" si="8"/>
        <v>#DIV/0!</v>
      </c>
      <c r="L69" s="14"/>
      <c r="M69" s="14"/>
      <c r="N69" s="33">
        <f t="shared" si="9"/>
        <v>3</v>
      </c>
      <c r="O69" s="34" t="e">
        <f t="shared" si="10"/>
        <v>#DIV/0!</v>
      </c>
      <c r="P69" s="39" t="e">
        <f t="shared" si="11"/>
        <v>#DIV/0!</v>
      </c>
      <c r="Q69" s="11"/>
    </row>
    <row r="70" spans="2:17" x14ac:dyDescent="0.3">
      <c r="B70" s="30">
        <f>'Critérios de Seleção de Fornece'!B70</f>
        <v>65</v>
      </c>
      <c r="C70" s="30">
        <f>'Critérios de Seleção de Fornece'!C70</f>
        <v>0</v>
      </c>
      <c r="D70" s="30">
        <f>'Critérios de Seleção de Fornece'!H70</f>
        <v>0</v>
      </c>
      <c r="E70" s="30">
        <f>'Critérios de Seleção de Fornece'!I70</f>
        <v>0</v>
      </c>
      <c r="F70" s="30" t="e">
        <f>'Critérios de Seleção de Fornece'!L70</f>
        <v>#DIV/0!</v>
      </c>
      <c r="G70" s="30" t="e">
        <f>'Critérios de Seleção de Fornece'!O70</f>
        <v>#DIV/0!</v>
      </c>
      <c r="H70" s="30">
        <f>'Critérios de Seleção de Fornece'!Q70</f>
        <v>0</v>
      </c>
      <c r="I70" s="30" t="e">
        <f>'Critérios de Seleção de Fornece'!T70</f>
        <v>#DIV/0!</v>
      </c>
      <c r="J70" s="30" t="e">
        <f>'Critérios de Seleção de Fornece'!W70</f>
        <v>#DIV/0!</v>
      </c>
      <c r="K70" s="31" t="e">
        <f t="shared" si="8"/>
        <v>#DIV/0!</v>
      </c>
      <c r="L70" s="14"/>
      <c r="M70" s="14"/>
      <c r="N70" s="33">
        <f t="shared" si="9"/>
        <v>3</v>
      </c>
      <c r="O70" s="34" t="e">
        <f t="shared" si="10"/>
        <v>#DIV/0!</v>
      </c>
      <c r="P70" s="39" t="e">
        <f t="shared" si="11"/>
        <v>#DIV/0!</v>
      </c>
      <c r="Q70" s="11"/>
    </row>
    <row r="71" spans="2:17" x14ac:dyDescent="0.3">
      <c r="B71" s="30">
        <f>'Critérios de Seleção de Fornece'!B71</f>
        <v>66</v>
      </c>
      <c r="C71" s="30">
        <f>'Critérios de Seleção de Fornece'!C71</f>
        <v>0</v>
      </c>
      <c r="D71" s="30">
        <f>'Critérios de Seleção de Fornece'!H71</f>
        <v>0</v>
      </c>
      <c r="E71" s="30">
        <f>'Critérios de Seleção de Fornece'!I71</f>
        <v>0</v>
      </c>
      <c r="F71" s="30" t="e">
        <f>'Critérios de Seleção de Fornece'!L71</f>
        <v>#DIV/0!</v>
      </c>
      <c r="G71" s="30" t="e">
        <f>'Critérios de Seleção de Fornece'!O71</f>
        <v>#DIV/0!</v>
      </c>
      <c r="H71" s="30">
        <f>'Critérios de Seleção de Fornece'!Q71</f>
        <v>0</v>
      </c>
      <c r="I71" s="30" t="e">
        <f>'Critérios de Seleção de Fornece'!T71</f>
        <v>#DIV/0!</v>
      </c>
      <c r="J71" s="30" t="e">
        <f>'Critérios de Seleção de Fornece'!W71</f>
        <v>#DIV/0!</v>
      </c>
      <c r="K71" s="31" t="e">
        <f t="shared" si="8"/>
        <v>#DIV/0!</v>
      </c>
      <c r="L71" s="14"/>
      <c r="M71" s="14"/>
      <c r="N71" s="33">
        <f t="shared" si="9"/>
        <v>3</v>
      </c>
      <c r="O71" s="34" t="e">
        <f t="shared" si="10"/>
        <v>#DIV/0!</v>
      </c>
      <c r="P71" s="39" t="e">
        <f t="shared" si="11"/>
        <v>#DIV/0!</v>
      </c>
      <c r="Q71" s="11"/>
    </row>
    <row r="72" spans="2:17" x14ac:dyDescent="0.3">
      <c r="B72" s="30">
        <f>'Critérios de Seleção de Fornece'!B72</f>
        <v>67</v>
      </c>
      <c r="C72" s="30">
        <f>'Critérios de Seleção de Fornece'!C72</f>
        <v>0</v>
      </c>
      <c r="D72" s="30">
        <f>'Critérios de Seleção de Fornece'!H72</f>
        <v>0</v>
      </c>
      <c r="E72" s="30">
        <f>'Critérios de Seleção de Fornece'!I72</f>
        <v>0</v>
      </c>
      <c r="F72" s="30" t="e">
        <f>'Critérios de Seleção de Fornece'!L72</f>
        <v>#DIV/0!</v>
      </c>
      <c r="G72" s="30" t="e">
        <f>'Critérios de Seleção de Fornece'!O72</f>
        <v>#DIV/0!</v>
      </c>
      <c r="H72" s="30">
        <f>'Critérios de Seleção de Fornece'!Q72</f>
        <v>0</v>
      </c>
      <c r="I72" s="30" t="e">
        <f>'Critérios de Seleção de Fornece'!T72</f>
        <v>#DIV/0!</v>
      </c>
      <c r="J72" s="30" t="e">
        <f>'Critérios de Seleção de Fornece'!W72</f>
        <v>#DIV/0!</v>
      </c>
      <c r="K72" s="31" t="e">
        <f t="shared" si="8"/>
        <v>#DIV/0!</v>
      </c>
      <c r="L72" s="14"/>
      <c r="M72" s="14"/>
      <c r="N72" s="33">
        <f t="shared" si="9"/>
        <v>3</v>
      </c>
      <c r="O72" s="34" t="e">
        <f t="shared" si="10"/>
        <v>#DIV/0!</v>
      </c>
      <c r="P72" s="39" t="e">
        <f t="shared" si="11"/>
        <v>#DIV/0!</v>
      </c>
      <c r="Q72" s="11"/>
    </row>
    <row r="73" spans="2:17" x14ac:dyDescent="0.3">
      <c r="B73" s="30">
        <f>'Critérios de Seleção de Fornece'!B73</f>
        <v>68</v>
      </c>
      <c r="C73" s="30">
        <f>'Critérios de Seleção de Fornece'!C73</f>
        <v>0</v>
      </c>
      <c r="D73" s="30">
        <f>'Critérios de Seleção de Fornece'!H73</f>
        <v>0</v>
      </c>
      <c r="E73" s="30">
        <f>'Critérios de Seleção de Fornece'!I73</f>
        <v>0</v>
      </c>
      <c r="F73" s="30" t="e">
        <f>'Critérios de Seleção de Fornece'!L73</f>
        <v>#DIV/0!</v>
      </c>
      <c r="G73" s="30" t="e">
        <f>'Critérios de Seleção de Fornece'!O73</f>
        <v>#DIV/0!</v>
      </c>
      <c r="H73" s="30">
        <f>'Critérios de Seleção de Fornece'!Q73</f>
        <v>0</v>
      </c>
      <c r="I73" s="30" t="e">
        <f>'Critérios de Seleção de Fornece'!T73</f>
        <v>#DIV/0!</v>
      </c>
      <c r="J73" s="30" t="e">
        <f>'Critérios de Seleção de Fornece'!W73</f>
        <v>#DIV/0!</v>
      </c>
      <c r="K73" s="31" t="e">
        <f t="shared" si="8"/>
        <v>#DIV/0!</v>
      </c>
      <c r="L73" s="14"/>
      <c r="M73" s="14"/>
      <c r="N73" s="33">
        <f t="shared" si="9"/>
        <v>3</v>
      </c>
      <c r="O73" s="34" t="e">
        <f t="shared" si="10"/>
        <v>#DIV/0!</v>
      </c>
      <c r="P73" s="39" t="e">
        <f t="shared" si="11"/>
        <v>#DIV/0!</v>
      </c>
      <c r="Q73" s="11"/>
    </row>
    <row r="74" spans="2:17" x14ac:dyDescent="0.3">
      <c r="B74" s="30">
        <f>'Critérios de Seleção de Fornece'!B74</f>
        <v>69</v>
      </c>
      <c r="C74" s="30">
        <f>'Critérios de Seleção de Fornece'!C74</f>
        <v>0</v>
      </c>
      <c r="D74" s="30">
        <f>'Critérios de Seleção de Fornece'!H74</f>
        <v>0</v>
      </c>
      <c r="E74" s="30">
        <f>'Critérios de Seleção de Fornece'!I74</f>
        <v>0</v>
      </c>
      <c r="F74" s="30" t="e">
        <f>'Critérios de Seleção de Fornece'!L74</f>
        <v>#DIV/0!</v>
      </c>
      <c r="G74" s="30" t="e">
        <f>'Critérios de Seleção de Fornece'!O74</f>
        <v>#DIV/0!</v>
      </c>
      <c r="H74" s="30">
        <f>'Critérios de Seleção de Fornece'!Q74</f>
        <v>0</v>
      </c>
      <c r="I74" s="30" t="e">
        <f>'Critérios de Seleção de Fornece'!T74</f>
        <v>#DIV/0!</v>
      </c>
      <c r="J74" s="30" t="e">
        <f>'Critérios de Seleção de Fornece'!W74</f>
        <v>#DIV/0!</v>
      </c>
      <c r="K74" s="31" t="e">
        <f t="shared" si="8"/>
        <v>#DIV/0!</v>
      </c>
      <c r="L74" s="14"/>
      <c r="M74" s="14"/>
      <c r="N74" s="33">
        <f t="shared" si="9"/>
        <v>3</v>
      </c>
      <c r="O74" s="34" t="e">
        <f t="shared" si="10"/>
        <v>#DIV/0!</v>
      </c>
      <c r="P74" s="39" t="e">
        <f t="shared" si="11"/>
        <v>#DIV/0!</v>
      </c>
      <c r="Q74" s="11"/>
    </row>
    <row r="75" spans="2:17" x14ac:dyDescent="0.3">
      <c r="B75" s="30">
        <f>'Critérios de Seleção de Fornece'!B75</f>
        <v>70</v>
      </c>
      <c r="C75" s="30">
        <f>'Critérios de Seleção de Fornece'!C75</f>
        <v>0</v>
      </c>
      <c r="D75" s="30">
        <f>'Critérios de Seleção de Fornece'!H75</f>
        <v>0</v>
      </c>
      <c r="E75" s="30">
        <f>'Critérios de Seleção de Fornece'!I75</f>
        <v>0</v>
      </c>
      <c r="F75" s="30" t="e">
        <f>'Critérios de Seleção de Fornece'!L75</f>
        <v>#DIV/0!</v>
      </c>
      <c r="G75" s="30" t="e">
        <f>'Critérios de Seleção de Fornece'!O75</f>
        <v>#DIV/0!</v>
      </c>
      <c r="H75" s="30">
        <f>'Critérios de Seleção de Fornece'!Q75</f>
        <v>0</v>
      </c>
      <c r="I75" s="30" t="e">
        <f>'Critérios de Seleção de Fornece'!T75</f>
        <v>#DIV/0!</v>
      </c>
      <c r="J75" s="30" t="e">
        <f>'Critérios de Seleção de Fornece'!W75</f>
        <v>#DIV/0!</v>
      </c>
      <c r="K75" s="31" t="e">
        <f t="shared" si="8"/>
        <v>#DIV/0!</v>
      </c>
      <c r="L75" s="14"/>
      <c r="M75" s="14"/>
      <c r="N75" s="33">
        <f t="shared" si="9"/>
        <v>3</v>
      </c>
      <c r="O75" s="34" t="e">
        <f t="shared" si="10"/>
        <v>#DIV/0!</v>
      </c>
      <c r="P75" s="39" t="e">
        <f t="shared" si="11"/>
        <v>#DIV/0!</v>
      </c>
      <c r="Q75" s="11"/>
    </row>
    <row r="76" spans="2:17" x14ac:dyDescent="0.3">
      <c r="B76" s="30">
        <f>'Critérios de Seleção de Fornece'!B76</f>
        <v>71</v>
      </c>
      <c r="C76" s="30">
        <f>'Critérios de Seleção de Fornece'!C76</f>
        <v>0</v>
      </c>
      <c r="D76" s="30">
        <f>'Critérios de Seleção de Fornece'!H76</f>
        <v>0</v>
      </c>
      <c r="E76" s="30">
        <f>'Critérios de Seleção de Fornece'!I76</f>
        <v>0</v>
      </c>
      <c r="F76" s="30" t="e">
        <f>'Critérios de Seleção de Fornece'!L76</f>
        <v>#DIV/0!</v>
      </c>
      <c r="G76" s="30" t="e">
        <f>'Critérios de Seleção de Fornece'!O76</f>
        <v>#DIV/0!</v>
      </c>
      <c r="H76" s="30">
        <f>'Critérios de Seleção de Fornece'!Q76</f>
        <v>0</v>
      </c>
      <c r="I76" s="30" t="e">
        <f>'Critérios de Seleção de Fornece'!T76</f>
        <v>#DIV/0!</v>
      </c>
      <c r="J76" s="30" t="e">
        <f>'Critérios de Seleção de Fornece'!W76</f>
        <v>#DIV/0!</v>
      </c>
      <c r="K76" s="31" t="e">
        <f t="shared" si="8"/>
        <v>#DIV/0!</v>
      </c>
      <c r="L76" s="14"/>
      <c r="M76" s="14"/>
      <c r="N76" s="33">
        <f t="shared" si="9"/>
        <v>3</v>
      </c>
      <c r="O76" s="34" t="e">
        <f t="shared" si="10"/>
        <v>#DIV/0!</v>
      </c>
      <c r="P76" s="39" t="e">
        <f t="shared" si="11"/>
        <v>#DIV/0!</v>
      </c>
      <c r="Q76" s="11"/>
    </row>
    <row r="77" spans="2:17" x14ac:dyDescent="0.3">
      <c r="B77" s="30">
        <f>'Critérios de Seleção de Fornece'!B77</f>
        <v>72</v>
      </c>
      <c r="C77" s="30">
        <f>'Critérios de Seleção de Fornece'!C77</f>
        <v>0</v>
      </c>
      <c r="D77" s="30">
        <f>'Critérios de Seleção de Fornece'!H77</f>
        <v>0</v>
      </c>
      <c r="E77" s="30">
        <f>'Critérios de Seleção de Fornece'!I77</f>
        <v>0</v>
      </c>
      <c r="F77" s="30" t="e">
        <f>'Critérios de Seleção de Fornece'!L77</f>
        <v>#DIV/0!</v>
      </c>
      <c r="G77" s="30" t="e">
        <f>'Critérios de Seleção de Fornece'!O77</f>
        <v>#DIV/0!</v>
      </c>
      <c r="H77" s="30">
        <f>'Critérios de Seleção de Fornece'!Q77</f>
        <v>0</v>
      </c>
      <c r="I77" s="30" t="e">
        <f>'Critérios de Seleção de Fornece'!T77</f>
        <v>#DIV/0!</v>
      </c>
      <c r="J77" s="30" t="e">
        <f>'Critérios de Seleção de Fornece'!W77</f>
        <v>#DIV/0!</v>
      </c>
      <c r="K77" s="31" t="e">
        <f t="shared" si="8"/>
        <v>#DIV/0!</v>
      </c>
      <c r="L77" s="14"/>
      <c r="M77" s="14"/>
      <c r="N77" s="33">
        <f t="shared" si="9"/>
        <v>3</v>
      </c>
      <c r="O77" s="34" t="e">
        <f t="shared" si="10"/>
        <v>#DIV/0!</v>
      </c>
      <c r="P77" s="39" t="e">
        <f t="shared" si="11"/>
        <v>#DIV/0!</v>
      </c>
      <c r="Q77" s="11"/>
    </row>
    <row r="78" spans="2:17" x14ac:dyDescent="0.3">
      <c r="B78" s="30">
        <f>'Critérios de Seleção de Fornece'!B78</f>
        <v>73</v>
      </c>
      <c r="C78" s="30">
        <f>'Critérios de Seleção de Fornece'!C78</f>
        <v>0</v>
      </c>
      <c r="D78" s="30">
        <f>'Critérios de Seleção de Fornece'!H78</f>
        <v>0</v>
      </c>
      <c r="E78" s="30">
        <f>'Critérios de Seleção de Fornece'!I78</f>
        <v>0</v>
      </c>
      <c r="F78" s="30" t="e">
        <f>'Critérios de Seleção de Fornece'!L78</f>
        <v>#DIV/0!</v>
      </c>
      <c r="G78" s="30" t="e">
        <f>'Critérios de Seleção de Fornece'!O78</f>
        <v>#DIV/0!</v>
      </c>
      <c r="H78" s="30">
        <f>'Critérios de Seleção de Fornece'!Q78</f>
        <v>0</v>
      </c>
      <c r="I78" s="30" t="e">
        <f>'Critérios de Seleção de Fornece'!T78</f>
        <v>#DIV/0!</v>
      </c>
      <c r="J78" s="30" t="e">
        <f>'Critérios de Seleção de Fornece'!W78</f>
        <v>#DIV/0!</v>
      </c>
      <c r="K78" s="31" t="e">
        <f t="shared" si="8"/>
        <v>#DIV/0!</v>
      </c>
      <c r="L78" s="14"/>
      <c r="M78" s="14"/>
      <c r="N78" s="33">
        <f t="shared" si="9"/>
        <v>3</v>
      </c>
      <c r="O78" s="34" t="e">
        <f t="shared" si="10"/>
        <v>#DIV/0!</v>
      </c>
      <c r="P78" s="39" t="e">
        <f t="shared" si="11"/>
        <v>#DIV/0!</v>
      </c>
      <c r="Q78" s="11"/>
    </row>
    <row r="79" spans="2:17" x14ac:dyDescent="0.3">
      <c r="B79" s="30">
        <f>'Critérios de Seleção de Fornece'!B79</f>
        <v>74</v>
      </c>
      <c r="C79" s="30">
        <f>'Critérios de Seleção de Fornece'!C79</f>
        <v>0</v>
      </c>
      <c r="D79" s="30">
        <f>'Critérios de Seleção de Fornece'!H79</f>
        <v>0</v>
      </c>
      <c r="E79" s="30">
        <f>'Critérios de Seleção de Fornece'!I79</f>
        <v>0</v>
      </c>
      <c r="F79" s="30" t="e">
        <f>'Critérios de Seleção de Fornece'!L79</f>
        <v>#DIV/0!</v>
      </c>
      <c r="G79" s="30" t="e">
        <f>'Critérios de Seleção de Fornece'!O79</f>
        <v>#DIV/0!</v>
      </c>
      <c r="H79" s="30">
        <f>'Critérios de Seleção de Fornece'!Q79</f>
        <v>0</v>
      </c>
      <c r="I79" s="30" t="e">
        <f>'Critérios de Seleção de Fornece'!T79</f>
        <v>#DIV/0!</v>
      </c>
      <c r="J79" s="30" t="e">
        <f>'Critérios de Seleção de Fornece'!W79</f>
        <v>#DIV/0!</v>
      </c>
      <c r="K79" s="31" t="e">
        <f t="shared" si="8"/>
        <v>#DIV/0!</v>
      </c>
      <c r="L79" s="14"/>
      <c r="M79" s="14"/>
      <c r="N79" s="33">
        <f t="shared" si="9"/>
        <v>3</v>
      </c>
      <c r="O79" s="34" t="e">
        <f t="shared" si="10"/>
        <v>#DIV/0!</v>
      </c>
      <c r="P79" s="39" t="e">
        <f t="shared" si="11"/>
        <v>#DIV/0!</v>
      </c>
      <c r="Q79" s="11"/>
    </row>
    <row r="80" spans="2:17" x14ac:dyDescent="0.3">
      <c r="B80" s="30">
        <f>'Critérios de Seleção de Fornece'!B80</f>
        <v>75</v>
      </c>
      <c r="C80" s="30">
        <f>'Critérios de Seleção de Fornece'!C80</f>
        <v>0</v>
      </c>
      <c r="D80" s="30">
        <f>'Critérios de Seleção de Fornece'!H80</f>
        <v>0</v>
      </c>
      <c r="E80" s="30">
        <f>'Critérios de Seleção de Fornece'!I80</f>
        <v>0</v>
      </c>
      <c r="F80" s="30" t="e">
        <f>'Critérios de Seleção de Fornece'!L80</f>
        <v>#DIV/0!</v>
      </c>
      <c r="G80" s="30" t="e">
        <f>'Critérios de Seleção de Fornece'!O80</f>
        <v>#DIV/0!</v>
      </c>
      <c r="H80" s="30">
        <f>'Critérios de Seleção de Fornece'!Q80</f>
        <v>0</v>
      </c>
      <c r="I80" s="30" t="e">
        <f>'Critérios de Seleção de Fornece'!T80</f>
        <v>#DIV/0!</v>
      </c>
      <c r="J80" s="30" t="e">
        <f>'Critérios de Seleção de Fornece'!W80</f>
        <v>#DIV/0!</v>
      </c>
      <c r="K80" s="31" t="e">
        <f t="shared" si="8"/>
        <v>#DIV/0!</v>
      </c>
      <c r="L80" s="14"/>
      <c r="M80" s="14"/>
      <c r="N80" s="33">
        <f t="shared" si="9"/>
        <v>3</v>
      </c>
      <c r="O80" s="34" t="e">
        <f t="shared" si="10"/>
        <v>#DIV/0!</v>
      </c>
      <c r="P80" s="39" t="e">
        <f t="shared" si="11"/>
        <v>#DIV/0!</v>
      </c>
      <c r="Q80" s="11"/>
    </row>
    <row r="81" spans="2:17" x14ac:dyDescent="0.3">
      <c r="B81" s="30">
        <f>'Critérios de Seleção de Fornece'!B81</f>
        <v>76</v>
      </c>
      <c r="C81" s="30">
        <f>'Critérios de Seleção de Fornece'!C81</f>
        <v>0</v>
      </c>
      <c r="D81" s="30">
        <f>'Critérios de Seleção de Fornece'!H81</f>
        <v>0</v>
      </c>
      <c r="E81" s="30">
        <f>'Critérios de Seleção de Fornece'!I81</f>
        <v>0</v>
      </c>
      <c r="F81" s="30" t="e">
        <f>'Critérios de Seleção de Fornece'!L81</f>
        <v>#DIV/0!</v>
      </c>
      <c r="G81" s="30" t="e">
        <f>'Critérios de Seleção de Fornece'!O81</f>
        <v>#DIV/0!</v>
      </c>
      <c r="H81" s="30">
        <f>'Critérios de Seleção de Fornece'!Q81</f>
        <v>0</v>
      </c>
      <c r="I81" s="30" t="e">
        <f>'Critérios de Seleção de Fornece'!T81</f>
        <v>#DIV/0!</v>
      </c>
      <c r="J81" s="30" t="e">
        <f>'Critérios de Seleção de Fornece'!W81</f>
        <v>#DIV/0!</v>
      </c>
      <c r="K81" s="31" t="e">
        <f t="shared" si="8"/>
        <v>#DIV/0!</v>
      </c>
      <c r="L81" s="14"/>
      <c r="M81" s="14"/>
      <c r="N81" s="33">
        <f t="shared" si="9"/>
        <v>3</v>
      </c>
      <c r="O81" s="34" t="e">
        <f t="shared" si="10"/>
        <v>#DIV/0!</v>
      </c>
      <c r="P81" s="39" t="e">
        <f t="shared" si="11"/>
        <v>#DIV/0!</v>
      </c>
      <c r="Q81" s="11"/>
    </row>
    <row r="82" spans="2:17" x14ac:dyDescent="0.3">
      <c r="B82" s="30">
        <f>'Critérios de Seleção de Fornece'!B82</f>
        <v>77</v>
      </c>
      <c r="C82" s="30">
        <f>'Critérios de Seleção de Fornece'!C82</f>
        <v>0</v>
      </c>
      <c r="D82" s="30">
        <f>'Critérios de Seleção de Fornece'!H82</f>
        <v>0</v>
      </c>
      <c r="E82" s="30">
        <f>'Critérios de Seleção de Fornece'!I82</f>
        <v>0</v>
      </c>
      <c r="F82" s="30" t="e">
        <f>'Critérios de Seleção de Fornece'!L82</f>
        <v>#DIV/0!</v>
      </c>
      <c r="G82" s="30" t="e">
        <f>'Critérios de Seleção de Fornece'!O82</f>
        <v>#DIV/0!</v>
      </c>
      <c r="H82" s="30">
        <f>'Critérios de Seleção de Fornece'!Q82</f>
        <v>0</v>
      </c>
      <c r="I82" s="30" t="e">
        <f>'Critérios de Seleção de Fornece'!T82</f>
        <v>#DIV/0!</v>
      </c>
      <c r="J82" s="30" t="e">
        <f>'Critérios de Seleção de Fornece'!W82</f>
        <v>#DIV/0!</v>
      </c>
      <c r="K82" s="31" t="e">
        <f t="shared" si="8"/>
        <v>#DIV/0!</v>
      </c>
      <c r="L82" s="14"/>
      <c r="M82" s="14"/>
      <c r="N82" s="33">
        <f t="shared" si="9"/>
        <v>3</v>
      </c>
      <c r="O82" s="34" t="e">
        <f t="shared" si="10"/>
        <v>#DIV/0!</v>
      </c>
      <c r="P82" s="39" t="e">
        <f t="shared" si="11"/>
        <v>#DIV/0!</v>
      </c>
      <c r="Q82" s="11"/>
    </row>
    <row r="83" spans="2:17" x14ac:dyDescent="0.3">
      <c r="B83" s="30">
        <f>'Critérios de Seleção de Fornece'!B83</f>
        <v>78</v>
      </c>
      <c r="C83" s="30">
        <f>'Critérios de Seleção de Fornece'!C83</f>
        <v>0</v>
      </c>
      <c r="D83" s="30">
        <f>'Critérios de Seleção de Fornece'!H83</f>
        <v>0</v>
      </c>
      <c r="E83" s="30">
        <f>'Critérios de Seleção de Fornece'!I83</f>
        <v>0</v>
      </c>
      <c r="F83" s="30" t="e">
        <f>'Critérios de Seleção de Fornece'!L83</f>
        <v>#DIV/0!</v>
      </c>
      <c r="G83" s="30" t="e">
        <f>'Critérios de Seleção de Fornece'!O83</f>
        <v>#DIV/0!</v>
      </c>
      <c r="H83" s="30">
        <f>'Critérios de Seleção de Fornece'!Q83</f>
        <v>0</v>
      </c>
      <c r="I83" s="30" t="e">
        <f>'Critérios de Seleção de Fornece'!T83</f>
        <v>#DIV/0!</v>
      </c>
      <c r="J83" s="30" t="e">
        <f>'Critérios de Seleção de Fornece'!W83</f>
        <v>#DIV/0!</v>
      </c>
      <c r="K83" s="31" t="e">
        <f t="shared" si="8"/>
        <v>#DIV/0!</v>
      </c>
      <c r="L83" s="14"/>
      <c r="M83" s="14"/>
      <c r="N83" s="33">
        <f t="shared" si="9"/>
        <v>3</v>
      </c>
      <c r="O83" s="34" t="e">
        <f t="shared" si="10"/>
        <v>#DIV/0!</v>
      </c>
      <c r="P83" s="39" t="e">
        <f t="shared" si="11"/>
        <v>#DIV/0!</v>
      </c>
      <c r="Q83" s="11"/>
    </row>
    <row r="84" spans="2:17" x14ac:dyDescent="0.3">
      <c r="B84" s="30">
        <f>'Critérios de Seleção de Fornece'!B84</f>
        <v>79</v>
      </c>
      <c r="C84" s="30">
        <f>'Critérios de Seleção de Fornece'!C84</f>
        <v>0</v>
      </c>
      <c r="D84" s="30">
        <f>'Critérios de Seleção de Fornece'!H84</f>
        <v>0</v>
      </c>
      <c r="E84" s="30">
        <f>'Critérios de Seleção de Fornece'!I84</f>
        <v>0</v>
      </c>
      <c r="F84" s="30" t="e">
        <f>'Critérios de Seleção de Fornece'!L84</f>
        <v>#DIV/0!</v>
      </c>
      <c r="G84" s="30" t="e">
        <f>'Critérios de Seleção de Fornece'!O84</f>
        <v>#DIV/0!</v>
      </c>
      <c r="H84" s="30">
        <f>'Critérios de Seleção de Fornece'!Q84</f>
        <v>0</v>
      </c>
      <c r="I84" s="30" t="e">
        <f>'Critérios de Seleção de Fornece'!T84</f>
        <v>#DIV/0!</v>
      </c>
      <c r="J84" s="30" t="e">
        <f>'Critérios de Seleção de Fornece'!W84</f>
        <v>#DIV/0!</v>
      </c>
      <c r="K84" s="31" t="e">
        <f t="shared" si="8"/>
        <v>#DIV/0!</v>
      </c>
      <c r="L84" s="14"/>
      <c r="M84" s="14"/>
      <c r="N84" s="33">
        <f t="shared" si="9"/>
        <v>3</v>
      </c>
      <c r="O84" s="34" t="e">
        <f t="shared" si="10"/>
        <v>#DIV/0!</v>
      </c>
      <c r="P84" s="39" t="e">
        <f t="shared" si="11"/>
        <v>#DIV/0!</v>
      </c>
      <c r="Q84" s="11"/>
    </row>
    <row r="85" spans="2:17" x14ac:dyDescent="0.3">
      <c r="B85" s="30">
        <f>'Critérios de Seleção de Fornece'!B85</f>
        <v>80</v>
      </c>
      <c r="C85" s="30">
        <f>'Critérios de Seleção de Fornece'!C85</f>
        <v>0</v>
      </c>
      <c r="D85" s="30">
        <f>'Critérios de Seleção de Fornece'!H85</f>
        <v>0</v>
      </c>
      <c r="E85" s="30">
        <f>'Critérios de Seleção de Fornece'!I85</f>
        <v>0</v>
      </c>
      <c r="F85" s="30" t="e">
        <f>'Critérios de Seleção de Fornece'!L85</f>
        <v>#DIV/0!</v>
      </c>
      <c r="G85" s="30" t="e">
        <f>'Critérios de Seleção de Fornece'!O85</f>
        <v>#DIV/0!</v>
      </c>
      <c r="H85" s="30">
        <f>'Critérios de Seleção de Fornece'!Q85</f>
        <v>0</v>
      </c>
      <c r="I85" s="30" t="e">
        <f>'Critérios de Seleção de Fornece'!T85</f>
        <v>#DIV/0!</v>
      </c>
      <c r="J85" s="30" t="e">
        <f>'Critérios de Seleção de Fornece'!W85</f>
        <v>#DIV/0!</v>
      </c>
      <c r="K85" s="31" t="e">
        <f t="shared" si="8"/>
        <v>#DIV/0!</v>
      </c>
      <c r="L85" s="14"/>
      <c r="M85" s="14"/>
      <c r="N85" s="33">
        <f t="shared" si="9"/>
        <v>3</v>
      </c>
      <c r="O85" s="34" t="e">
        <f t="shared" si="10"/>
        <v>#DIV/0!</v>
      </c>
      <c r="P85" s="39" t="e">
        <f t="shared" si="11"/>
        <v>#DIV/0!</v>
      </c>
      <c r="Q85" s="11"/>
    </row>
    <row r="86" spans="2:17" x14ac:dyDescent="0.3">
      <c r="B86" s="30">
        <f>'Critérios de Seleção de Fornece'!B86</f>
        <v>81</v>
      </c>
      <c r="C86" s="30">
        <f>'Critérios de Seleção de Fornece'!C86</f>
        <v>0</v>
      </c>
      <c r="D86" s="30">
        <f>'Critérios de Seleção de Fornece'!H86</f>
        <v>0</v>
      </c>
      <c r="E86" s="30">
        <f>'Critérios de Seleção de Fornece'!I86</f>
        <v>0</v>
      </c>
      <c r="F86" s="30" t="e">
        <f>'Critérios de Seleção de Fornece'!L86</f>
        <v>#DIV/0!</v>
      </c>
      <c r="G86" s="30" t="e">
        <f>'Critérios de Seleção de Fornece'!O86</f>
        <v>#DIV/0!</v>
      </c>
      <c r="H86" s="30">
        <f>'Critérios de Seleção de Fornece'!Q86</f>
        <v>0</v>
      </c>
      <c r="I86" s="30" t="e">
        <f>'Critérios de Seleção de Fornece'!T86</f>
        <v>#DIV/0!</v>
      </c>
      <c r="J86" s="30" t="e">
        <f>'Critérios de Seleção de Fornece'!W86</f>
        <v>#DIV/0!</v>
      </c>
      <c r="K86" s="31" t="e">
        <f t="shared" si="8"/>
        <v>#DIV/0!</v>
      </c>
      <c r="L86" s="14"/>
      <c r="M86" s="14"/>
      <c r="N86" s="33">
        <f t="shared" si="9"/>
        <v>3</v>
      </c>
      <c r="O86" s="34" t="e">
        <f t="shared" si="10"/>
        <v>#DIV/0!</v>
      </c>
      <c r="P86" s="39" t="e">
        <f t="shared" si="11"/>
        <v>#DIV/0!</v>
      </c>
      <c r="Q86" s="11"/>
    </row>
    <row r="87" spans="2:17" x14ac:dyDescent="0.3">
      <c r="B87" s="30">
        <f>'Critérios de Seleção de Fornece'!B87</f>
        <v>82</v>
      </c>
      <c r="C87" s="30">
        <f>'Critérios de Seleção de Fornece'!C87</f>
        <v>0</v>
      </c>
      <c r="D87" s="30">
        <f>'Critérios de Seleção de Fornece'!H87</f>
        <v>0</v>
      </c>
      <c r="E87" s="30">
        <f>'Critérios de Seleção de Fornece'!I87</f>
        <v>0</v>
      </c>
      <c r="F87" s="30" t="e">
        <f>'Critérios de Seleção de Fornece'!L87</f>
        <v>#DIV/0!</v>
      </c>
      <c r="G87" s="30" t="e">
        <f>'Critérios de Seleção de Fornece'!O87</f>
        <v>#DIV/0!</v>
      </c>
      <c r="H87" s="30">
        <f>'Critérios de Seleção de Fornece'!Q87</f>
        <v>0</v>
      </c>
      <c r="I87" s="30" t="e">
        <f>'Critérios de Seleção de Fornece'!T87</f>
        <v>#DIV/0!</v>
      </c>
      <c r="J87" s="30" t="e">
        <f>'Critérios de Seleção de Fornece'!W87</f>
        <v>#DIV/0!</v>
      </c>
      <c r="K87" s="31" t="e">
        <f t="shared" si="8"/>
        <v>#DIV/0!</v>
      </c>
      <c r="L87" s="14"/>
      <c r="M87" s="14"/>
      <c r="N87" s="33">
        <f t="shared" si="9"/>
        <v>3</v>
      </c>
      <c r="O87" s="34" t="e">
        <f t="shared" si="10"/>
        <v>#DIV/0!</v>
      </c>
      <c r="P87" s="39" t="e">
        <f t="shared" si="11"/>
        <v>#DIV/0!</v>
      </c>
      <c r="Q87" s="11"/>
    </row>
    <row r="88" spans="2:17" x14ac:dyDescent="0.3">
      <c r="B88" s="30">
        <f>'Critérios de Seleção de Fornece'!B88</f>
        <v>83</v>
      </c>
      <c r="C88" s="30">
        <f>'Critérios de Seleção de Fornece'!C88</f>
        <v>0</v>
      </c>
      <c r="D88" s="30">
        <f>'Critérios de Seleção de Fornece'!H88</f>
        <v>0</v>
      </c>
      <c r="E88" s="30">
        <f>'Critérios de Seleção de Fornece'!I88</f>
        <v>0</v>
      </c>
      <c r="F88" s="30" t="e">
        <f>'Critérios de Seleção de Fornece'!L88</f>
        <v>#DIV/0!</v>
      </c>
      <c r="G88" s="30" t="e">
        <f>'Critérios de Seleção de Fornece'!O88</f>
        <v>#DIV/0!</v>
      </c>
      <c r="H88" s="30">
        <f>'Critérios de Seleção de Fornece'!Q88</f>
        <v>0</v>
      </c>
      <c r="I88" s="30" t="e">
        <f>'Critérios de Seleção de Fornece'!T88</f>
        <v>#DIV/0!</v>
      </c>
      <c r="J88" s="30" t="e">
        <f>'Critérios de Seleção de Fornece'!W88</f>
        <v>#DIV/0!</v>
      </c>
      <c r="K88" s="31" t="e">
        <f t="shared" si="8"/>
        <v>#DIV/0!</v>
      </c>
      <c r="L88" s="14"/>
      <c r="M88" s="14"/>
      <c r="N88" s="33">
        <f t="shared" si="9"/>
        <v>3</v>
      </c>
      <c r="O88" s="34" t="e">
        <f t="shared" si="10"/>
        <v>#DIV/0!</v>
      </c>
      <c r="P88" s="39" t="e">
        <f t="shared" si="11"/>
        <v>#DIV/0!</v>
      </c>
      <c r="Q88" s="11"/>
    </row>
    <row r="89" spans="2:17" x14ac:dyDescent="0.3">
      <c r="B89" s="30">
        <f>'Critérios de Seleção de Fornece'!B89</f>
        <v>84</v>
      </c>
      <c r="C89" s="30">
        <f>'Critérios de Seleção de Fornece'!C89</f>
        <v>0</v>
      </c>
      <c r="D89" s="30">
        <f>'Critérios de Seleção de Fornece'!H89</f>
        <v>0</v>
      </c>
      <c r="E89" s="30">
        <f>'Critérios de Seleção de Fornece'!I89</f>
        <v>0</v>
      </c>
      <c r="F89" s="30" t="e">
        <f>'Critérios de Seleção de Fornece'!L89</f>
        <v>#DIV/0!</v>
      </c>
      <c r="G89" s="30" t="e">
        <f>'Critérios de Seleção de Fornece'!O89</f>
        <v>#DIV/0!</v>
      </c>
      <c r="H89" s="30">
        <f>'Critérios de Seleção de Fornece'!Q89</f>
        <v>0</v>
      </c>
      <c r="I89" s="30" t="e">
        <f>'Critérios de Seleção de Fornece'!T89</f>
        <v>#DIV/0!</v>
      </c>
      <c r="J89" s="30" t="e">
        <f>'Critérios de Seleção de Fornece'!W89</f>
        <v>#DIV/0!</v>
      </c>
      <c r="K89" s="31" t="e">
        <f t="shared" si="8"/>
        <v>#DIV/0!</v>
      </c>
      <c r="L89" s="14"/>
      <c r="M89" s="14"/>
      <c r="N89" s="33">
        <f t="shared" si="9"/>
        <v>3</v>
      </c>
      <c r="O89" s="34" t="e">
        <f t="shared" si="10"/>
        <v>#DIV/0!</v>
      </c>
      <c r="P89" s="39" t="e">
        <f t="shared" si="11"/>
        <v>#DIV/0!</v>
      </c>
      <c r="Q89" s="11"/>
    </row>
    <row r="90" spans="2:17" x14ac:dyDescent="0.3">
      <c r="B90" s="30">
        <f>'Critérios de Seleção de Fornece'!B90</f>
        <v>85</v>
      </c>
      <c r="C90" s="30">
        <f>'Critérios de Seleção de Fornece'!C90</f>
        <v>0</v>
      </c>
      <c r="D90" s="30">
        <f>'Critérios de Seleção de Fornece'!H90</f>
        <v>0</v>
      </c>
      <c r="E90" s="30">
        <f>'Critérios de Seleção de Fornece'!I90</f>
        <v>0</v>
      </c>
      <c r="F90" s="30" t="e">
        <f>'Critérios de Seleção de Fornece'!L90</f>
        <v>#DIV/0!</v>
      </c>
      <c r="G90" s="30" t="e">
        <f>'Critérios de Seleção de Fornece'!O90</f>
        <v>#DIV/0!</v>
      </c>
      <c r="H90" s="30">
        <f>'Critérios de Seleção de Fornece'!Q90</f>
        <v>0</v>
      </c>
      <c r="I90" s="30" t="e">
        <f>'Critérios de Seleção de Fornece'!T90</f>
        <v>#DIV/0!</v>
      </c>
      <c r="J90" s="30" t="e">
        <f>'Critérios de Seleção de Fornece'!W90</f>
        <v>#DIV/0!</v>
      </c>
      <c r="K90" s="31" t="e">
        <f t="shared" si="8"/>
        <v>#DIV/0!</v>
      </c>
      <c r="L90" s="14"/>
      <c r="M90" s="14"/>
      <c r="N90" s="33">
        <f t="shared" si="9"/>
        <v>3</v>
      </c>
      <c r="O90" s="34" t="e">
        <f t="shared" si="10"/>
        <v>#DIV/0!</v>
      </c>
      <c r="P90" s="39" t="e">
        <f t="shared" si="11"/>
        <v>#DIV/0!</v>
      </c>
      <c r="Q90" s="11"/>
    </row>
    <row r="91" spans="2:17" x14ac:dyDescent="0.3">
      <c r="B91" s="30">
        <f>'Critérios de Seleção de Fornece'!B91</f>
        <v>86</v>
      </c>
      <c r="C91" s="30">
        <f>'Critérios de Seleção de Fornece'!C91</f>
        <v>0</v>
      </c>
      <c r="D91" s="30">
        <f>'Critérios de Seleção de Fornece'!H91</f>
        <v>0</v>
      </c>
      <c r="E91" s="30">
        <f>'Critérios de Seleção de Fornece'!I91</f>
        <v>0</v>
      </c>
      <c r="F91" s="30" t="e">
        <f>'Critérios de Seleção de Fornece'!L91</f>
        <v>#DIV/0!</v>
      </c>
      <c r="G91" s="30" t="e">
        <f>'Critérios de Seleção de Fornece'!O91</f>
        <v>#DIV/0!</v>
      </c>
      <c r="H91" s="30">
        <f>'Critérios de Seleção de Fornece'!Q91</f>
        <v>0</v>
      </c>
      <c r="I91" s="30" t="e">
        <f>'Critérios de Seleção de Fornece'!T91</f>
        <v>#DIV/0!</v>
      </c>
      <c r="J91" s="30" t="e">
        <f>'Critérios de Seleção de Fornece'!W91</f>
        <v>#DIV/0!</v>
      </c>
      <c r="K91" s="31" t="e">
        <f t="shared" si="8"/>
        <v>#DIV/0!</v>
      </c>
      <c r="L91" s="14"/>
      <c r="M91" s="14"/>
      <c r="N91" s="33">
        <f t="shared" si="9"/>
        <v>3</v>
      </c>
      <c r="O91" s="34" t="e">
        <f t="shared" si="10"/>
        <v>#DIV/0!</v>
      </c>
      <c r="P91" s="39" t="e">
        <f t="shared" si="11"/>
        <v>#DIV/0!</v>
      </c>
      <c r="Q91" s="11"/>
    </row>
    <row r="92" spans="2:17" x14ac:dyDescent="0.3">
      <c r="B92" s="30">
        <f>'Critérios de Seleção de Fornece'!B92</f>
        <v>87</v>
      </c>
      <c r="C92" s="30">
        <f>'Critérios de Seleção de Fornece'!C92</f>
        <v>0</v>
      </c>
      <c r="D92" s="30">
        <f>'Critérios de Seleção de Fornece'!H92</f>
        <v>0</v>
      </c>
      <c r="E92" s="30">
        <f>'Critérios de Seleção de Fornece'!I92</f>
        <v>0</v>
      </c>
      <c r="F92" s="30" t="e">
        <f>'Critérios de Seleção de Fornece'!L92</f>
        <v>#DIV/0!</v>
      </c>
      <c r="G92" s="30" t="e">
        <f>'Critérios de Seleção de Fornece'!O92</f>
        <v>#DIV/0!</v>
      </c>
      <c r="H92" s="30">
        <f>'Critérios de Seleção de Fornece'!Q92</f>
        <v>0</v>
      </c>
      <c r="I92" s="30" t="e">
        <f>'Critérios de Seleção de Fornece'!T92</f>
        <v>#DIV/0!</v>
      </c>
      <c r="J92" s="30" t="e">
        <f>'Critérios de Seleção de Fornece'!W92</f>
        <v>#DIV/0!</v>
      </c>
      <c r="K92" s="31" t="e">
        <f t="shared" si="8"/>
        <v>#DIV/0!</v>
      </c>
      <c r="L92" s="14"/>
      <c r="M92" s="14"/>
      <c r="N92" s="33">
        <f t="shared" si="9"/>
        <v>3</v>
      </c>
      <c r="O92" s="34" t="e">
        <f t="shared" si="10"/>
        <v>#DIV/0!</v>
      </c>
      <c r="P92" s="39" t="e">
        <f t="shared" si="11"/>
        <v>#DIV/0!</v>
      </c>
      <c r="Q92" s="11"/>
    </row>
    <row r="93" spans="2:17" x14ac:dyDescent="0.3">
      <c r="B93" s="30">
        <f>'Critérios de Seleção de Fornece'!B93</f>
        <v>88</v>
      </c>
      <c r="C93" s="30">
        <f>'Critérios de Seleção de Fornece'!C93</f>
        <v>0</v>
      </c>
      <c r="D93" s="30">
        <f>'Critérios de Seleção de Fornece'!H93</f>
        <v>0</v>
      </c>
      <c r="E93" s="30">
        <f>'Critérios de Seleção de Fornece'!I93</f>
        <v>0</v>
      </c>
      <c r="F93" s="30" t="e">
        <f>'Critérios de Seleção de Fornece'!L93</f>
        <v>#DIV/0!</v>
      </c>
      <c r="G93" s="30" t="e">
        <f>'Critérios de Seleção de Fornece'!O93</f>
        <v>#DIV/0!</v>
      </c>
      <c r="H93" s="30">
        <f>'Critérios de Seleção de Fornece'!Q93</f>
        <v>0</v>
      </c>
      <c r="I93" s="30" t="e">
        <f>'Critérios de Seleção de Fornece'!T93</f>
        <v>#DIV/0!</v>
      </c>
      <c r="J93" s="30" t="e">
        <f>'Critérios de Seleção de Fornece'!W93</f>
        <v>#DIV/0!</v>
      </c>
      <c r="K93" s="31" t="e">
        <f t="shared" si="8"/>
        <v>#DIV/0!</v>
      </c>
      <c r="L93" s="14"/>
      <c r="M93" s="14"/>
      <c r="N93" s="33">
        <f t="shared" si="9"/>
        <v>3</v>
      </c>
      <c r="O93" s="34" t="e">
        <f t="shared" si="10"/>
        <v>#DIV/0!</v>
      </c>
      <c r="P93" s="39" t="e">
        <f t="shared" si="11"/>
        <v>#DIV/0!</v>
      </c>
      <c r="Q93" s="11"/>
    </row>
    <row r="94" spans="2:17" x14ac:dyDescent="0.3">
      <c r="B94" s="30">
        <f>'Critérios de Seleção de Fornece'!B94</f>
        <v>89</v>
      </c>
      <c r="C94" s="30">
        <f>'Critérios de Seleção de Fornece'!C94</f>
        <v>0</v>
      </c>
      <c r="D94" s="30">
        <f>'Critérios de Seleção de Fornece'!H94</f>
        <v>0</v>
      </c>
      <c r="E94" s="30">
        <f>'Critérios de Seleção de Fornece'!I94</f>
        <v>0</v>
      </c>
      <c r="F94" s="30" t="e">
        <f>'Critérios de Seleção de Fornece'!L94</f>
        <v>#DIV/0!</v>
      </c>
      <c r="G94" s="30" t="e">
        <f>'Critérios de Seleção de Fornece'!O94</f>
        <v>#DIV/0!</v>
      </c>
      <c r="H94" s="30">
        <f>'Critérios de Seleção de Fornece'!Q94</f>
        <v>0</v>
      </c>
      <c r="I94" s="30" t="e">
        <f>'Critérios de Seleção de Fornece'!T94</f>
        <v>#DIV/0!</v>
      </c>
      <c r="J94" s="30" t="e">
        <f>'Critérios de Seleção de Fornece'!W94</f>
        <v>#DIV/0!</v>
      </c>
      <c r="K94" s="31" t="e">
        <f t="shared" si="8"/>
        <v>#DIV/0!</v>
      </c>
      <c r="L94" s="14"/>
      <c r="M94" s="14"/>
      <c r="N94" s="33">
        <f t="shared" si="9"/>
        <v>3</v>
      </c>
      <c r="O94" s="34" t="e">
        <f t="shared" si="10"/>
        <v>#DIV/0!</v>
      </c>
      <c r="P94" s="39" t="e">
        <f t="shared" si="11"/>
        <v>#DIV/0!</v>
      </c>
      <c r="Q94" s="11"/>
    </row>
    <row r="95" spans="2:17" x14ac:dyDescent="0.3">
      <c r="B95" s="30">
        <f>'Critérios de Seleção de Fornece'!B95</f>
        <v>90</v>
      </c>
      <c r="C95" s="30">
        <f>'Critérios de Seleção de Fornece'!C95</f>
        <v>0</v>
      </c>
      <c r="D95" s="30">
        <f>'Critérios de Seleção de Fornece'!H95</f>
        <v>0</v>
      </c>
      <c r="E95" s="30">
        <f>'Critérios de Seleção de Fornece'!I95</f>
        <v>0</v>
      </c>
      <c r="F95" s="30" t="e">
        <f>'Critérios de Seleção de Fornece'!L95</f>
        <v>#DIV/0!</v>
      </c>
      <c r="G95" s="30" t="e">
        <f>'Critérios de Seleção de Fornece'!O95</f>
        <v>#DIV/0!</v>
      </c>
      <c r="H95" s="30">
        <f>'Critérios de Seleção de Fornece'!Q95</f>
        <v>0</v>
      </c>
      <c r="I95" s="30" t="e">
        <f>'Critérios de Seleção de Fornece'!T95</f>
        <v>#DIV/0!</v>
      </c>
      <c r="J95" s="30" t="e">
        <f>'Critérios de Seleção de Fornece'!W95</f>
        <v>#DIV/0!</v>
      </c>
      <c r="K95" s="31" t="e">
        <f t="shared" si="8"/>
        <v>#DIV/0!</v>
      </c>
      <c r="L95" s="14"/>
      <c r="M95" s="14"/>
      <c r="N95" s="33">
        <f t="shared" si="9"/>
        <v>3</v>
      </c>
      <c r="O95" s="34" t="e">
        <f t="shared" si="10"/>
        <v>#DIV/0!</v>
      </c>
      <c r="P95" s="39" t="e">
        <f t="shared" si="11"/>
        <v>#DIV/0!</v>
      </c>
      <c r="Q95" s="11"/>
    </row>
    <row r="96" spans="2:17" x14ac:dyDescent="0.3">
      <c r="B96" s="30">
        <f>'Critérios de Seleção de Fornece'!B96</f>
        <v>91</v>
      </c>
      <c r="C96" s="30">
        <f>'Critérios de Seleção de Fornece'!C96</f>
        <v>0</v>
      </c>
      <c r="D96" s="30">
        <f>'Critérios de Seleção de Fornece'!H96</f>
        <v>0</v>
      </c>
      <c r="E96" s="30">
        <f>'Critérios de Seleção de Fornece'!I96</f>
        <v>0</v>
      </c>
      <c r="F96" s="30" t="e">
        <f>'Critérios de Seleção de Fornece'!L96</f>
        <v>#DIV/0!</v>
      </c>
      <c r="G96" s="30" t="e">
        <f>'Critérios de Seleção de Fornece'!O96</f>
        <v>#DIV/0!</v>
      </c>
      <c r="H96" s="30">
        <f>'Critérios de Seleção de Fornece'!Q96</f>
        <v>0</v>
      </c>
      <c r="I96" s="30" t="e">
        <f>'Critérios de Seleção de Fornece'!T96</f>
        <v>#DIV/0!</v>
      </c>
      <c r="J96" s="30" t="e">
        <f>'Critérios de Seleção de Fornece'!W96</f>
        <v>#DIV/0!</v>
      </c>
      <c r="K96" s="31" t="e">
        <f t="shared" si="8"/>
        <v>#DIV/0!</v>
      </c>
      <c r="L96" s="14"/>
      <c r="M96" s="14"/>
      <c r="N96" s="33">
        <f t="shared" si="9"/>
        <v>3</v>
      </c>
      <c r="O96" s="34" t="e">
        <f t="shared" si="10"/>
        <v>#DIV/0!</v>
      </c>
      <c r="P96" s="39" t="e">
        <f t="shared" si="11"/>
        <v>#DIV/0!</v>
      </c>
      <c r="Q96" s="11"/>
    </row>
    <row r="97" spans="2:17" x14ac:dyDescent="0.3">
      <c r="B97" s="30">
        <f>'Critérios de Seleção de Fornece'!B97</f>
        <v>92</v>
      </c>
      <c r="C97" s="30">
        <f>'Critérios de Seleção de Fornece'!C97</f>
        <v>0</v>
      </c>
      <c r="D97" s="30">
        <f>'Critérios de Seleção de Fornece'!H97</f>
        <v>0</v>
      </c>
      <c r="E97" s="30">
        <f>'Critérios de Seleção de Fornece'!I97</f>
        <v>0</v>
      </c>
      <c r="F97" s="30" t="e">
        <f>'Critérios de Seleção de Fornece'!L97</f>
        <v>#DIV/0!</v>
      </c>
      <c r="G97" s="30" t="e">
        <f>'Critérios de Seleção de Fornece'!O97</f>
        <v>#DIV/0!</v>
      </c>
      <c r="H97" s="30">
        <f>'Critérios de Seleção de Fornece'!Q97</f>
        <v>0</v>
      </c>
      <c r="I97" s="30" t="e">
        <f>'Critérios de Seleção de Fornece'!T97</f>
        <v>#DIV/0!</v>
      </c>
      <c r="J97" s="30" t="e">
        <f>'Critérios de Seleção de Fornece'!W97</f>
        <v>#DIV/0!</v>
      </c>
      <c r="K97" s="31" t="e">
        <f t="shared" si="8"/>
        <v>#DIV/0!</v>
      </c>
      <c r="L97" s="14"/>
      <c r="M97" s="14"/>
      <c r="N97" s="33">
        <f t="shared" si="9"/>
        <v>3</v>
      </c>
      <c r="O97" s="34" t="e">
        <f t="shared" si="10"/>
        <v>#DIV/0!</v>
      </c>
      <c r="P97" s="39" t="e">
        <f t="shared" si="11"/>
        <v>#DIV/0!</v>
      </c>
      <c r="Q97" s="11"/>
    </row>
    <row r="98" spans="2:17" x14ac:dyDescent="0.3">
      <c r="B98" s="30">
        <f>'Critérios de Seleção de Fornece'!B98</f>
        <v>93</v>
      </c>
      <c r="C98" s="30">
        <f>'Critérios de Seleção de Fornece'!C98</f>
        <v>0</v>
      </c>
      <c r="D98" s="30">
        <f>'Critérios de Seleção de Fornece'!H98</f>
        <v>0</v>
      </c>
      <c r="E98" s="30">
        <f>'Critérios de Seleção de Fornece'!I98</f>
        <v>0</v>
      </c>
      <c r="F98" s="30" t="e">
        <f>'Critérios de Seleção de Fornece'!L98</f>
        <v>#DIV/0!</v>
      </c>
      <c r="G98" s="30" t="e">
        <f>'Critérios de Seleção de Fornece'!O98</f>
        <v>#DIV/0!</v>
      </c>
      <c r="H98" s="30">
        <f>'Critérios de Seleção de Fornece'!Q98</f>
        <v>0</v>
      </c>
      <c r="I98" s="30" t="e">
        <f>'Critérios de Seleção de Fornece'!T98</f>
        <v>#DIV/0!</v>
      </c>
      <c r="J98" s="30" t="e">
        <f>'Critérios de Seleção de Fornece'!W98</f>
        <v>#DIV/0!</v>
      </c>
      <c r="K98" s="31" t="e">
        <f t="shared" si="8"/>
        <v>#DIV/0!</v>
      </c>
      <c r="L98" s="14"/>
      <c r="M98" s="14"/>
      <c r="N98" s="33">
        <f t="shared" si="9"/>
        <v>3</v>
      </c>
      <c r="O98" s="34" t="e">
        <f t="shared" si="10"/>
        <v>#DIV/0!</v>
      </c>
      <c r="P98" s="39" t="e">
        <f t="shared" si="11"/>
        <v>#DIV/0!</v>
      </c>
      <c r="Q98" s="11"/>
    </row>
    <row r="99" spans="2:17" x14ac:dyDescent="0.3">
      <c r="B99" s="30">
        <f>'Critérios de Seleção de Fornece'!B99</f>
        <v>94</v>
      </c>
      <c r="C99" s="30">
        <f>'Critérios de Seleção de Fornece'!C99</f>
        <v>0</v>
      </c>
      <c r="D99" s="30">
        <f>'Critérios de Seleção de Fornece'!H99</f>
        <v>0</v>
      </c>
      <c r="E99" s="30">
        <f>'Critérios de Seleção de Fornece'!I99</f>
        <v>0</v>
      </c>
      <c r="F99" s="30" t="e">
        <f>'Critérios de Seleção de Fornece'!L99</f>
        <v>#DIV/0!</v>
      </c>
      <c r="G99" s="30" t="e">
        <f>'Critérios de Seleção de Fornece'!O99</f>
        <v>#DIV/0!</v>
      </c>
      <c r="H99" s="30">
        <f>'Critérios de Seleção de Fornece'!Q99</f>
        <v>0</v>
      </c>
      <c r="I99" s="30" t="e">
        <f>'Critérios de Seleção de Fornece'!T99</f>
        <v>#DIV/0!</v>
      </c>
      <c r="J99" s="30" t="e">
        <f>'Critérios de Seleção de Fornece'!W99</f>
        <v>#DIV/0!</v>
      </c>
      <c r="K99" s="31" t="e">
        <f t="shared" si="8"/>
        <v>#DIV/0!</v>
      </c>
      <c r="L99" s="14"/>
      <c r="M99" s="14"/>
      <c r="N99" s="33">
        <f t="shared" si="9"/>
        <v>3</v>
      </c>
      <c r="O99" s="34" t="e">
        <f t="shared" si="10"/>
        <v>#DIV/0!</v>
      </c>
      <c r="P99" s="39" t="e">
        <f t="shared" si="11"/>
        <v>#DIV/0!</v>
      </c>
      <c r="Q99" s="11"/>
    </row>
    <row r="100" spans="2:17" x14ac:dyDescent="0.3">
      <c r="B100" s="30">
        <f>'Critérios de Seleção de Fornece'!B100</f>
        <v>95</v>
      </c>
      <c r="C100" s="30">
        <f>'Critérios de Seleção de Fornece'!C100</f>
        <v>0</v>
      </c>
      <c r="D100" s="30">
        <f>'Critérios de Seleção de Fornece'!H100</f>
        <v>0</v>
      </c>
      <c r="E100" s="30">
        <f>'Critérios de Seleção de Fornece'!I100</f>
        <v>0</v>
      </c>
      <c r="F100" s="30" t="e">
        <f>'Critérios de Seleção de Fornece'!L100</f>
        <v>#DIV/0!</v>
      </c>
      <c r="G100" s="30" t="e">
        <f>'Critérios de Seleção de Fornece'!O100</f>
        <v>#DIV/0!</v>
      </c>
      <c r="H100" s="30">
        <f>'Critérios de Seleção de Fornece'!Q100</f>
        <v>0</v>
      </c>
      <c r="I100" s="30" t="e">
        <f>'Critérios de Seleção de Fornece'!T100</f>
        <v>#DIV/0!</v>
      </c>
      <c r="J100" s="30" t="e">
        <f>'Critérios de Seleção de Fornece'!W100</f>
        <v>#DIV/0!</v>
      </c>
      <c r="K100" s="31" t="e">
        <f t="shared" si="8"/>
        <v>#DIV/0!</v>
      </c>
      <c r="L100" s="14"/>
      <c r="M100" s="14"/>
      <c r="N100" s="33">
        <f t="shared" si="9"/>
        <v>3</v>
      </c>
      <c r="O100" s="34" t="e">
        <f t="shared" si="10"/>
        <v>#DIV/0!</v>
      </c>
      <c r="P100" s="39" t="e">
        <f t="shared" si="11"/>
        <v>#DIV/0!</v>
      </c>
      <c r="Q100" s="11"/>
    </row>
    <row r="101" spans="2:17" x14ac:dyDescent="0.3">
      <c r="B101" s="30">
        <f>'Critérios de Seleção de Fornece'!B101</f>
        <v>96</v>
      </c>
      <c r="C101" s="30">
        <f>'Critérios de Seleção de Fornece'!C101</f>
        <v>0</v>
      </c>
      <c r="D101" s="30">
        <f>'Critérios de Seleção de Fornece'!H101</f>
        <v>0</v>
      </c>
      <c r="E101" s="30">
        <f>'Critérios de Seleção de Fornece'!I101</f>
        <v>0</v>
      </c>
      <c r="F101" s="30" t="e">
        <f>'Critérios de Seleção de Fornece'!L101</f>
        <v>#DIV/0!</v>
      </c>
      <c r="G101" s="30" t="e">
        <f>'Critérios de Seleção de Fornece'!O101</f>
        <v>#DIV/0!</v>
      </c>
      <c r="H101" s="30">
        <f>'Critérios de Seleção de Fornece'!Q101</f>
        <v>0</v>
      </c>
      <c r="I101" s="30" t="e">
        <f>'Critérios de Seleção de Fornece'!T101</f>
        <v>#DIV/0!</v>
      </c>
      <c r="J101" s="30" t="e">
        <f>'Critérios de Seleção de Fornece'!W101</f>
        <v>#DIV/0!</v>
      </c>
      <c r="K101" s="31" t="e">
        <f t="shared" si="8"/>
        <v>#DIV/0!</v>
      </c>
      <c r="L101" s="14"/>
      <c r="M101" s="14"/>
      <c r="N101" s="33">
        <f t="shared" si="9"/>
        <v>3</v>
      </c>
      <c r="O101" s="34" t="e">
        <f t="shared" si="10"/>
        <v>#DIV/0!</v>
      </c>
      <c r="P101" s="39" t="e">
        <f t="shared" si="11"/>
        <v>#DIV/0!</v>
      </c>
      <c r="Q101" s="11"/>
    </row>
    <row r="102" spans="2:17" x14ac:dyDescent="0.3">
      <c r="B102" s="30">
        <f>'Critérios de Seleção de Fornece'!B102</f>
        <v>97</v>
      </c>
      <c r="C102" s="30">
        <f>'Critérios de Seleção de Fornece'!C102</f>
        <v>0</v>
      </c>
      <c r="D102" s="30">
        <f>'Critérios de Seleção de Fornece'!H102</f>
        <v>0</v>
      </c>
      <c r="E102" s="30">
        <f>'Critérios de Seleção de Fornece'!I102</f>
        <v>0</v>
      </c>
      <c r="F102" s="30" t="e">
        <f>'Critérios de Seleção de Fornece'!L102</f>
        <v>#DIV/0!</v>
      </c>
      <c r="G102" s="30" t="e">
        <f>'Critérios de Seleção de Fornece'!O102</f>
        <v>#DIV/0!</v>
      </c>
      <c r="H102" s="30">
        <f>'Critérios de Seleção de Fornece'!Q102</f>
        <v>0</v>
      </c>
      <c r="I102" s="30" t="e">
        <f>'Critérios de Seleção de Fornece'!T102</f>
        <v>#DIV/0!</v>
      </c>
      <c r="J102" s="30" t="e">
        <f>'Critérios de Seleção de Fornece'!W102</f>
        <v>#DIV/0!</v>
      </c>
      <c r="K102" s="31" t="e">
        <f t="shared" si="8"/>
        <v>#DIV/0!</v>
      </c>
      <c r="L102" s="14"/>
      <c r="M102" s="14"/>
      <c r="N102" s="33">
        <f t="shared" si="9"/>
        <v>3</v>
      </c>
      <c r="O102" s="34" t="e">
        <f t="shared" si="10"/>
        <v>#DIV/0!</v>
      </c>
      <c r="P102" s="39" t="e">
        <f t="shared" si="11"/>
        <v>#DIV/0!</v>
      </c>
      <c r="Q102" s="11"/>
    </row>
    <row r="103" spans="2:17" x14ac:dyDescent="0.3">
      <c r="B103" s="30">
        <f>'Critérios de Seleção de Fornece'!B103</f>
        <v>98</v>
      </c>
      <c r="C103" s="30">
        <f>'Critérios de Seleção de Fornece'!C103</f>
        <v>0</v>
      </c>
      <c r="D103" s="30">
        <f>'Critérios de Seleção de Fornece'!H103</f>
        <v>0</v>
      </c>
      <c r="E103" s="30">
        <f>'Critérios de Seleção de Fornece'!I103</f>
        <v>0</v>
      </c>
      <c r="F103" s="30" t="e">
        <f>'Critérios de Seleção de Fornece'!L103</f>
        <v>#DIV/0!</v>
      </c>
      <c r="G103" s="30" t="e">
        <f>'Critérios de Seleção de Fornece'!O103</f>
        <v>#DIV/0!</v>
      </c>
      <c r="H103" s="30">
        <f>'Critérios de Seleção de Fornece'!Q103</f>
        <v>0</v>
      </c>
      <c r="I103" s="30" t="e">
        <f>'Critérios de Seleção de Fornece'!T103</f>
        <v>#DIV/0!</v>
      </c>
      <c r="J103" s="30" t="e">
        <f>'Critérios de Seleção de Fornece'!W103</f>
        <v>#DIV/0!</v>
      </c>
      <c r="K103" s="31" t="e">
        <f t="shared" si="8"/>
        <v>#DIV/0!</v>
      </c>
      <c r="L103" s="14"/>
      <c r="M103" s="14"/>
      <c r="N103" s="33">
        <f t="shared" si="9"/>
        <v>3</v>
      </c>
      <c r="O103" s="34" t="e">
        <f t="shared" si="10"/>
        <v>#DIV/0!</v>
      </c>
      <c r="P103" s="39" t="e">
        <f t="shared" si="11"/>
        <v>#DIV/0!</v>
      </c>
      <c r="Q103" s="11"/>
    </row>
    <row r="104" spans="2:17" x14ac:dyDescent="0.3">
      <c r="B104" s="30">
        <f>'Critérios de Seleção de Fornece'!B104</f>
        <v>99</v>
      </c>
      <c r="C104" s="30">
        <f>'Critérios de Seleção de Fornece'!C104</f>
        <v>0</v>
      </c>
      <c r="D104" s="30">
        <f>'Critérios de Seleção de Fornece'!H104</f>
        <v>0</v>
      </c>
      <c r="E104" s="30">
        <f>'Critérios de Seleção de Fornece'!I104</f>
        <v>0</v>
      </c>
      <c r="F104" s="30" t="e">
        <f>'Critérios de Seleção de Fornece'!L104</f>
        <v>#DIV/0!</v>
      </c>
      <c r="G104" s="30" t="e">
        <f>'Critérios de Seleção de Fornece'!O104</f>
        <v>#DIV/0!</v>
      </c>
      <c r="H104" s="30">
        <f>'Critérios de Seleção de Fornece'!Q104</f>
        <v>0</v>
      </c>
      <c r="I104" s="30" t="e">
        <f>'Critérios de Seleção de Fornece'!T104</f>
        <v>#DIV/0!</v>
      </c>
      <c r="J104" s="30" t="e">
        <f>'Critérios de Seleção de Fornece'!W104</f>
        <v>#DIV/0!</v>
      </c>
      <c r="K104" s="31" t="e">
        <f t="shared" si="8"/>
        <v>#DIV/0!</v>
      </c>
      <c r="L104" s="14"/>
      <c r="M104" s="14"/>
      <c r="N104" s="33">
        <f t="shared" si="9"/>
        <v>3</v>
      </c>
      <c r="O104" s="34" t="e">
        <f t="shared" si="10"/>
        <v>#DIV/0!</v>
      </c>
      <c r="P104" s="39" t="e">
        <f t="shared" si="11"/>
        <v>#DIV/0!</v>
      </c>
      <c r="Q104" s="11"/>
    </row>
    <row r="105" spans="2:17" x14ac:dyDescent="0.3">
      <c r="B105" s="30">
        <f>'Critérios de Seleção de Fornece'!B105</f>
        <v>100</v>
      </c>
      <c r="C105" s="30">
        <f>'Critérios de Seleção de Fornece'!C105</f>
        <v>0</v>
      </c>
      <c r="D105" s="30">
        <f>'Critérios de Seleção de Fornece'!H105</f>
        <v>0</v>
      </c>
      <c r="E105" s="30">
        <f>'Critérios de Seleção de Fornece'!I105</f>
        <v>0</v>
      </c>
      <c r="F105" s="30" t="e">
        <f>'Critérios de Seleção de Fornece'!L105</f>
        <v>#DIV/0!</v>
      </c>
      <c r="G105" s="30" t="e">
        <f>'Critérios de Seleção de Fornece'!O105</f>
        <v>#DIV/0!</v>
      </c>
      <c r="H105" s="30">
        <f>'Critérios de Seleção de Fornece'!Q105</f>
        <v>0</v>
      </c>
      <c r="I105" s="30" t="e">
        <f>'Critérios de Seleção de Fornece'!T105</f>
        <v>#DIV/0!</v>
      </c>
      <c r="J105" s="30" t="e">
        <f>'Critérios de Seleção de Fornece'!W105</f>
        <v>#DIV/0!</v>
      </c>
      <c r="K105" s="31" t="e">
        <f t="shared" si="8"/>
        <v>#DIV/0!</v>
      </c>
      <c r="L105" s="14"/>
      <c r="M105" s="14"/>
      <c r="N105" s="33">
        <f t="shared" si="9"/>
        <v>3</v>
      </c>
      <c r="O105" s="34" t="e">
        <f t="shared" si="10"/>
        <v>#DIV/0!</v>
      </c>
      <c r="P105" s="39" t="e">
        <f t="shared" si="11"/>
        <v>#DIV/0!</v>
      </c>
      <c r="Q105" s="11"/>
    </row>
    <row r="106" spans="2:17" x14ac:dyDescent="0.3">
      <c r="B106" s="30">
        <f>'Critérios de Seleção de Fornece'!B106</f>
        <v>101</v>
      </c>
      <c r="C106" s="30">
        <f>'Critérios de Seleção de Fornece'!C106</f>
        <v>0</v>
      </c>
      <c r="D106" s="30">
        <f>'Critérios de Seleção de Fornece'!H106</f>
        <v>0</v>
      </c>
      <c r="E106" s="30">
        <f>'Critérios de Seleção de Fornece'!I106</f>
        <v>0</v>
      </c>
      <c r="F106" s="30" t="e">
        <f>'Critérios de Seleção de Fornece'!L106</f>
        <v>#DIV/0!</v>
      </c>
      <c r="G106" s="30" t="e">
        <f>'Critérios de Seleção de Fornece'!O106</f>
        <v>#DIV/0!</v>
      </c>
      <c r="H106" s="30">
        <f>'Critérios de Seleção de Fornece'!Q106</f>
        <v>0</v>
      </c>
      <c r="I106" s="30" t="e">
        <f>'Critérios de Seleção de Fornece'!T106</f>
        <v>#DIV/0!</v>
      </c>
      <c r="J106" s="30" t="e">
        <f>'Critérios de Seleção de Fornece'!W106</f>
        <v>#DIV/0!</v>
      </c>
      <c r="K106" s="31" t="e">
        <f t="shared" si="8"/>
        <v>#DIV/0!</v>
      </c>
      <c r="L106" s="14"/>
      <c r="M106" s="14"/>
      <c r="N106" s="33">
        <f t="shared" si="9"/>
        <v>3</v>
      </c>
      <c r="O106" s="34" t="e">
        <f t="shared" si="10"/>
        <v>#DIV/0!</v>
      </c>
      <c r="P106" s="39" t="e">
        <f t="shared" si="11"/>
        <v>#DIV/0!</v>
      </c>
      <c r="Q106" s="11"/>
    </row>
    <row r="107" spans="2:17" x14ac:dyDescent="0.3">
      <c r="B107" s="30">
        <f>'Critérios de Seleção de Fornece'!B107</f>
        <v>102</v>
      </c>
      <c r="C107" s="30">
        <f>'Critérios de Seleção de Fornece'!C107</f>
        <v>0</v>
      </c>
      <c r="D107" s="30">
        <f>'Critérios de Seleção de Fornece'!H107</f>
        <v>0</v>
      </c>
      <c r="E107" s="30">
        <f>'Critérios de Seleção de Fornece'!I107</f>
        <v>0</v>
      </c>
      <c r="F107" s="30" t="e">
        <f>'Critérios de Seleção de Fornece'!L107</f>
        <v>#DIV/0!</v>
      </c>
      <c r="G107" s="30" t="e">
        <f>'Critérios de Seleção de Fornece'!O107</f>
        <v>#DIV/0!</v>
      </c>
      <c r="H107" s="30">
        <f>'Critérios de Seleção de Fornece'!Q107</f>
        <v>0</v>
      </c>
      <c r="I107" s="30" t="e">
        <f>'Critérios de Seleção de Fornece'!T107</f>
        <v>#DIV/0!</v>
      </c>
      <c r="J107" s="30" t="e">
        <f>'Critérios de Seleção de Fornece'!W107</f>
        <v>#DIV/0!</v>
      </c>
      <c r="K107" s="31" t="e">
        <f t="shared" ref="K107:K170" si="12">AVERAGE(D107:J107)</f>
        <v>#DIV/0!</v>
      </c>
      <c r="L107" s="14"/>
      <c r="M107" s="14"/>
      <c r="N107" s="33">
        <f t="shared" ref="N107:N170" si="13">IF(M107&gt;L107,1,IF(M107=L107,3,5))</f>
        <v>3</v>
      </c>
      <c r="O107" s="34" t="e">
        <f t="shared" ref="O107:O170" si="14">((5-K107)/4) + ((N107-3)/20)</f>
        <v>#DIV/0!</v>
      </c>
      <c r="P107" s="39" t="e">
        <f t="shared" ref="P107:P170" si="15">IF(O107&gt;=0.7,$S$10,IF(O107&gt;=0.5,$S$11,$S$12))</f>
        <v>#DIV/0!</v>
      </c>
      <c r="Q107" s="11"/>
    </row>
    <row r="108" spans="2:17" x14ac:dyDescent="0.3">
      <c r="B108" s="30">
        <f>'Critérios de Seleção de Fornece'!B108</f>
        <v>103</v>
      </c>
      <c r="C108" s="30">
        <f>'Critérios de Seleção de Fornece'!C108</f>
        <v>0</v>
      </c>
      <c r="D108" s="30">
        <f>'Critérios de Seleção de Fornece'!H108</f>
        <v>0</v>
      </c>
      <c r="E108" s="30">
        <f>'Critérios de Seleção de Fornece'!I108</f>
        <v>0</v>
      </c>
      <c r="F108" s="30" t="e">
        <f>'Critérios de Seleção de Fornece'!L108</f>
        <v>#DIV/0!</v>
      </c>
      <c r="G108" s="30" t="e">
        <f>'Critérios de Seleção de Fornece'!O108</f>
        <v>#DIV/0!</v>
      </c>
      <c r="H108" s="30">
        <f>'Critérios de Seleção de Fornece'!Q108</f>
        <v>0</v>
      </c>
      <c r="I108" s="30" t="e">
        <f>'Critérios de Seleção de Fornece'!T108</f>
        <v>#DIV/0!</v>
      </c>
      <c r="J108" s="30" t="e">
        <f>'Critérios de Seleção de Fornece'!W108</f>
        <v>#DIV/0!</v>
      </c>
      <c r="K108" s="31" t="e">
        <f t="shared" si="12"/>
        <v>#DIV/0!</v>
      </c>
      <c r="L108" s="14"/>
      <c r="M108" s="14"/>
      <c r="N108" s="33">
        <f t="shared" si="13"/>
        <v>3</v>
      </c>
      <c r="O108" s="34" t="e">
        <f t="shared" si="14"/>
        <v>#DIV/0!</v>
      </c>
      <c r="P108" s="39" t="e">
        <f t="shared" si="15"/>
        <v>#DIV/0!</v>
      </c>
      <c r="Q108" s="11"/>
    </row>
    <row r="109" spans="2:17" x14ac:dyDescent="0.3">
      <c r="B109" s="30">
        <f>'Critérios de Seleção de Fornece'!B109</f>
        <v>104</v>
      </c>
      <c r="C109" s="30">
        <f>'Critérios de Seleção de Fornece'!C109</f>
        <v>0</v>
      </c>
      <c r="D109" s="30">
        <f>'Critérios de Seleção de Fornece'!H109</f>
        <v>0</v>
      </c>
      <c r="E109" s="30">
        <f>'Critérios de Seleção de Fornece'!I109</f>
        <v>0</v>
      </c>
      <c r="F109" s="30" t="e">
        <f>'Critérios de Seleção de Fornece'!L109</f>
        <v>#DIV/0!</v>
      </c>
      <c r="G109" s="30" t="e">
        <f>'Critérios de Seleção de Fornece'!O109</f>
        <v>#DIV/0!</v>
      </c>
      <c r="H109" s="30">
        <f>'Critérios de Seleção de Fornece'!Q109</f>
        <v>0</v>
      </c>
      <c r="I109" s="30" t="e">
        <f>'Critérios de Seleção de Fornece'!T109</f>
        <v>#DIV/0!</v>
      </c>
      <c r="J109" s="30" t="e">
        <f>'Critérios de Seleção de Fornece'!W109</f>
        <v>#DIV/0!</v>
      </c>
      <c r="K109" s="31" t="e">
        <f t="shared" si="12"/>
        <v>#DIV/0!</v>
      </c>
      <c r="L109" s="14"/>
      <c r="M109" s="14"/>
      <c r="N109" s="33">
        <f t="shared" si="13"/>
        <v>3</v>
      </c>
      <c r="O109" s="34" t="e">
        <f t="shared" si="14"/>
        <v>#DIV/0!</v>
      </c>
      <c r="P109" s="39" t="e">
        <f t="shared" si="15"/>
        <v>#DIV/0!</v>
      </c>
      <c r="Q109" s="11"/>
    </row>
    <row r="110" spans="2:17" x14ac:dyDescent="0.3">
      <c r="B110" s="30">
        <f>'Critérios de Seleção de Fornece'!B110</f>
        <v>105</v>
      </c>
      <c r="C110" s="30">
        <f>'Critérios de Seleção de Fornece'!C110</f>
        <v>0</v>
      </c>
      <c r="D110" s="30">
        <f>'Critérios de Seleção de Fornece'!H110</f>
        <v>0</v>
      </c>
      <c r="E110" s="30">
        <f>'Critérios de Seleção de Fornece'!I110</f>
        <v>0</v>
      </c>
      <c r="F110" s="30" t="e">
        <f>'Critérios de Seleção de Fornece'!L110</f>
        <v>#DIV/0!</v>
      </c>
      <c r="G110" s="30" t="e">
        <f>'Critérios de Seleção de Fornece'!O110</f>
        <v>#DIV/0!</v>
      </c>
      <c r="H110" s="30">
        <f>'Critérios de Seleção de Fornece'!Q110</f>
        <v>0</v>
      </c>
      <c r="I110" s="30" t="e">
        <f>'Critérios de Seleção de Fornece'!T110</f>
        <v>#DIV/0!</v>
      </c>
      <c r="J110" s="30" t="e">
        <f>'Critérios de Seleção de Fornece'!W110</f>
        <v>#DIV/0!</v>
      </c>
      <c r="K110" s="31" t="e">
        <f t="shared" si="12"/>
        <v>#DIV/0!</v>
      </c>
      <c r="L110" s="14"/>
      <c r="M110" s="14"/>
      <c r="N110" s="33">
        <f t="shared" si="13"/>
        <v>3</v>
      </c>
      <c r="O110" s="34" t="e">
        <f t="shared" si="14"/>
        <v>#DIV/0!</v>
      </c>
      <c r="P110" s="39" t="e">
        <f t="shared" si="15"/>
        <v>#DIV/0!</v>
      </c>
      <c r="Q110" s="11"/>
    </row>
    <row r="111" spans="2:17" x14ac:dyDescent="0.3">
      <c r="B111" s="30">
        <f>'Critérios de Seleção de Fornece'!B111</f>
        <v>106</v>
      </c>
      <c r="C111" s="30">
        <f>'Critérios de Seleção de Fornece'!C111</f>
        <v>0</v>
      </c>
      <c r="D111" s="30">
        <f>'Critérios de Seleção de Fornece'!H111</f>
        <v>0</v>
      </c>
      <c r="E111" s="30">
        <f>'Critérios de Seleção de Fornece'!I111</f>
        <v>0</v>
      </c>
      <c r="F111" s="30" t="e">
        <f>'Critérios de Seleção de Fornece'!L111</f>
        <v>#DIV/0!</v>
      </c>
      <c r="G111" s="30" t="e">
        <f>'Critérios de Seleção de Fornece'!O111</f>
        <v>#DIV/0!</v>
      </c>
      <c r="H111" s="30">
        <f>'Critérios de Seleção de Fornece'!Q111</f>
        <v>0</v>
      </c>
      <c r="I111" s="30" t="e">
        <f>'Critérios de Seleção de Fornece'!T111</f>
        <v>#DIV/0!</v>
      </c>
      <c r="J111" s="30" t="e">
        <f>'Critérios de Seleção de Fornece'!W111</f>
        <v>#DIV/0!</v>
      </c>
      <c r="K111" s="31" t="e">
        <f t="shared" si="12"/>
        <v>#DIV/0!</v>
      </c>
      <c r="L111" s="14"/>
      <c r="M111" s="14"/>
      <c r="N111" s="33">
        <f t="shared" si="13"/>
        <v>3</v>
      </c>
      <c r="O111" s="34" t="e">
        <f t="shared" si="14"/>
        <v>#DIV/0!</v>
      </c>
      <c r="P111" s="39" t="e">
        <f t="shared" si="15"/>
        <v>#DIV/0!</v>
      </c>
      <c r="Q111" s="11"/>
    </row>
    <row r="112" spans="2:17" x14ac:dyDescent="0.3">
      <c r="B112" s="30">
        <f>'Critérios de Seleção de Fornece'!B112</f>
        <v>107</v>
      </c>
      <c r="C112" s="30">
        <f>'Critérios de Seleção de Fornece'!C112</f>
        <v>0</v>
      </c>
      <c r="D112" s="30">
        <f>'Critérios de Seleção de Fornece'!H112</f>
        <v>0</v>
      </c>
      <c r="E112" s="30">
        <f>'Critérios de Seleção de Fornece'!I112</f>
        <v>0</v>
      </c>
      <c r="F112" s="30" t="e">
        <f>'Critérios de Seleção de Fornece'!L112</f>
        <v>#DIV/0!</v>
      </c>
      <c r="G112" s="30" t="e">
        <f>'Critérios de Seleção de Fornece'!O112</f>
        <v>#DIV/0!</v>
      </c>
      <c r="H112" s="30">
        <f>'Critérios de Seleção de Fornece'!Q112</f>
        <v>0</v>
      </c>
      <c r="I112" s="30" t="e">
        <f>'Critérios de Seleção de Fornece'!T112</f>
        <v>#DIV/0!</v>
      </c>
      <c r="J112" s="30" t="e">
        <f>'Critérios de Seleção de Fornece'!W112</f>
        <v>#DIV/0!</v>
      </c>
      <c r="K112" s="31" t="e">
        <f t="shared" si="12"/>
        <v>#DIV/0!</v>
      </c>
      <c r="L112" s="14"/>
      <c r="M112" s="14"/>
      <c r="N112" s="33">
        <f t="shared" si="13"/>
        <v>3</v>
      </c>
      <c r="O112" s="34" t="e">
        <f t="shared" si="14"/>
        <v>#DIV/0!</v>
      </c>
      <c r="P112" s="39" t="e">
        <f t="shared" si="15"/>
        <v>#DIV/0!</v>
      </c>
      <c r="Q112" s="11"/>
    </row>
    <row r="113" spans="2:17" x14ac:dyDescent="0.3">
      <c r="B113" s="30">
        <f>'Critérios de Seleção de Fornece'!B113</f>
        <v>108</v>
      </c>
      <c r="C113" s="30">
        <f>'Critérios de Seleção de Fornece'!C113</f>
        <v>0</v>
      </c>
      <c r="D113" s="30">
        <f>'Critérios de Seleção de Fornece'!H113</f>
        <v>0</v>
      </c>
      <c r="E113" s="30">
        <f>'Critérios de Seleção de Fornece'!I113</f>
        <v>0</v>
      </c>
      <c r="F113" s="30" t="e">
        <f>'Critérios de Seleção de Fornece'!L113</f>
        <v>#DIV/0!</v>
      </c>
      <c r="G113" s="30" t="e">
        <f>'Critérios de Seleção de Fornece'!O113</f>
        <v>#DIV/0!</v>
      </c>
      <c r="H113" s="30">
        <f>'Critérios de Seleção de Fornece'!Q113</f>
        <v>0</v>
      </c>
      <c r="I113" s="30" t="e">
        <f>'Critérios de Seleção de Fornece'!T113</f>
        <v>#DIV/0!</v>
      </c>
      <c r="J113" s="30" t="e">
        <f>'Critérios de Seleção de Fornece'!W113</f>
        <v>#DIV/0!</v>
      </c>
      <c r="K113" s="31" t="e">
        <f t="shared" si="12"/>
        <v>#DIV/0!</v>
      </c>
      <c r="L113" s="14"/>
      <c r="M113" s="14"/>
      <c r="N113" s="33">
        <f t="shared" si="13"/>
        <v>3</v>
      </c>
      <c r="O113" s="34" t="e">
        <f t="shared" si="14"/>
        <v>#DIV/0!</v>
      </c>
      <c r="P113" s="39" t="e">
        <f t="shared" si="15"/>
        <v>#DIV/0!</v>
      </c>
      <c r="Q113" s="11"/>
    </row>
    <row r="114" spans="2:17" x14ac:dyDescent="0.3">
      <c r="B114" s="30">
        <f>'Critérios de Seleção de Fornece'!B114</f>
        <v>109</v>
      </c>
      <c r="C114" s="30">
        <f>'Critérios de Seleção de Fornece'!C114</f>
        <v>0</v>
      </c>
      <c r="D114" s="30">
        <f>'Critérios de Seleção de Fornece'!H114</f>
        <v>0</v>
      </c>
      <c r="E114" s="30">
        <f>'Critérios de Seleção de Fornece'!I114</f>
        <v>0</v>
      </c>
      <c r="F114" s="30" t="e">
        <f>'Critérios de Seleção de Fornece'!L114</f>
        <v>#DIV/0!</v>
      </c>
      <c r="G114" s="30" t="e">
        <f>'Critérios de Seleção de Fornece'!O114</f>
        <v>#DIV/0!</v>
      </c>
      <c r="H114" s="30">
        <f>'Critérios de Seleção de Fornece'!Q114</f>
        <v>0</v>
      </c>
      <c r="I114" s="30" t="e">
        <f>'Critérios de Seleção de Fornece'!T114</f>
        <v>#DIV/0!</v>
      </c>
      <c r="J114" s="30" t="e">
        <f>'Critérios de Seleção de Fornece'!W114</f>
        <v>#DIV/0!</v>
      </c>
      <c r="K114" s="31" t="e">
        <f t="shared" si="12"/>
        <v>#DIV/0!</v>
      </c>
      <c r="L114" s="14"/>
      <c r="M114" s="14"/>
      <c r="N114" s="33">
        <f t="shared" si="13"/>
        <v>3</v>
      </c>
      <c r="O114" s="34" t="e">
        <f t="shared" si="14"/>
        <v>#DIV/0!</v>
      </c>
      <c r="P114" s="39" t="e">
        <f t="shared" si="15"/>
        <v>#DIV/0!</v>
      </c>
      <c r="Q114" s="11"/>
    </row>
    <row r="115" spans="2:17" x14ac:dyDescent="0.3">
      <c r="B115" s="30">
        <f>'Critérios de Seleção de Fornece'!B115</f>
        <v>110</v>
      </c>
      <c r="C115" s="30">
        <f>'Critérios de Seleção de Fornece'!C115</f>
        <v>0</v>
      </c>
      <c r="D115" s="30">
        <f>'Critérios de Seleção de Fornece'!H115</f>
        <v>0</v>
      </c>
      <c r="E115" s="30">
        <f>'Critérios de Seleção de Fornece'!I115</f>
        <v>0</v>
      </c>
      <c r="F115" s="30" t="e">
        <f>'Critérios de Seleção de Fornece'!L115</f>
        <v>#DIV/0!</v>
      </c>
      <c r="G115" s="30" t="e">
        <f>'Critérios de Seleção de Fornece'!O115</f>
        <v>#DIV/0!</v>
      </c>
      <c r="H115" s="30">
        <f>'Critérios de Seleção de Fornece'!Q115</f>
        <v>0</v>
      </c>
      <c r="I115" s="30" t="e">
        <f>'Critérios de Seleção de Fornece'!T115</f>
        <v>#DIV/0!</v>
      </c>
      <c r="J115" s="30" t="e">
        <f>'Critérios de Seleção de Fornece'!W115</f>
        <v>#DIV/0!</v>
      </c>
      <c r="K115" s="31" t="e">
        <f t="shared" si="12"/>
        <v>#DIV/0!</v>
      </c>
      <c r="L115" s="14"/>
      <c r="M115" s="14"/>
      <c r="N115" s="33">
        <f t="shared" si="13"/>
        <v>3</v>
      </c>
      <c r="O115" s="34" t="e">
        <f t="shared" si="14"/>
        <v>#DIV/0!</v>
      </c>
      <c r="P115" s="39" t="e">
        <f t="shared" si="15"/>
        <v>#DIV/0!</v>
      </c>
      <c r="Q115" s="11"/>
    </row>
    <row r="116" spans="2:17" x14ac:dyDescent="0.3">
      <c r="B116" s="30">
        <f>'Critérios de Seleção de Fornece'!B116</f>
        <v>111</v>
      </c>
      <c r="C116" s="30">
        <f>'Critérios de Seleção de Fornece'!C116</f>
        <v>0</v>
      </c>
      <c r="D116" s="30">
        <f>'Critérios de Seleção de Fornece'!H116</f>
        <v>0</v>
      </c>
      <c r="E116" s="30">
        <f>'Critérios de Seleção de Fornece'!I116</f>
        <v>0</v>
      </c>
      <c r="F116" s="30" t="e">
        <f>'Critérios de Seleção de Fornece'!L116</f>
        <v>#DIV/0!</v>
      </c>
      <c r="G116" s="30" t="e">
        <f>'Critérios de Seleção de Fornece'!O116</f>
        <v>#DIV/0!</v>
      </c>
      <c r="H116" s="30">
        <f>'Critérios de Seleção de Fornece'!Q116</f>
        <v>0</v>
      </c>
      <c r="I116" s="30" t="e">
        <f>'Critérios de Seleção de Fornece'!T116</f>
        <v>#DIV/0!</v>
      </c>
      <c r="J116" s="30" t="e">
        <f>'Critérios de Seleção de Fornece'!W116</f>
        <v>#DIV/0!</v>
      </c>
      <c r="K116" s="31" t="e">
        <f t="shared" si="12"/>
        <v>#DIV/0!</v>
      </c>
      <c r="L116" s="14"/>
      <c r="M116" s="14"/>
      <c r="N116" s="33">
        <f t="shared" si="13"/>
        <v>3</v>
      </c>
      <c r="O116" s="34" t="e">
        <f t="shared" si="14"/>
        <v>#DIV/0!</v>
      </c>
      <c r="P116" s="39" t="e">
        <f t="shared" si="15"/>
        <v>#DIV/0!</v>
      </c>
      <c r="Q116" s="11"/>
    </row>
    <row r="117" spans="2:17" x14ac:dyDescent="0.3">
      <c r="B117" s="30">
        <f>'Critérios de Seleção de Fornece'!B117</f>
        <v>112</v>
      </c>
      <c r="C117" s="30">
        <f>'Critérios de Seleção de Fornece'!C117</f>
        <v>0</v>
      </c>
      <c r="D117" s="30">
        <f>'Critérios de Seleção de Fornece'!H117</f>
        <v>0</v>
      </c>
      <c r="E117" s="30">
        <f>'Critérios de Seleção de Fornece'!I117</f>
        <v>0</v>
      </c>
      <c r="F117" s="30" t="e">
        <f>'Critérios de Seleção de Fornece'!L117</f>
        <v>#DIV/0!</v>
      </c>
      <c r="G117" s="30" t="e">
        <f>'Critérios de Seleção de Fornece'!O117</f>
        <v>#DIV/0!</v>
      </c>
      <c r="H117" s="30">
        <f>'Critérios de Seleção de Fornece'!Q117</f>
        <v>0</v>
      </c>
      <c r="I117" s="30" t="e">
        <f>'Critérios de Seleção de Fornece'!T117</f>
        <v>#DIV/0!</v>
      </c>
      <c r="J117" s="30" t="e">
        <f>'Critérios de Seleção de Fornece'!W117</f>
        <v>#DIV/0!</v>
      </c>
      <c r="K117" s="31" t="e">
        <f t="shared" si="12"/>
        <v>#DIV/0!</v>
      </c>
      <c r="L117" s="14"/>
      <c r="M117" s="14"/>
      <c r="N117" s="33">
        <f t="shared" si="13"/>
        <v>3</v>
      </c>
      <c r="O117" s="34" t="e">
        <f t="shared" si="14"/>
        <v>#DIV/0!</v>
      </c>
      <c r="P117" s="39" t="e">
        <f t="shared" si="15"/>
        <v>#DIV/0!</v>
      </c>
      <c r="Q117" s="11"/>
    </row>
    <row r="118" spans="2:17" x14ac:dyDescent="0.3">
      <c r="B118" s="30">
        <f>'Critérios de Seleção de Fornece'!B118</f>
        <v>113</v>
      </c>
      <c r="C118" s="30">
        <f>'Critérios de Seleção de Fornece'!C118</f>
        <v>0</v>
      </c>
      <c r="D118" s="30">
        <f>'Critérios de Seleção de Fornece'!H118</f>
        <v>0</v>
      </c>
      <c r="E118" s="30">
        <f>'Critérios de Seleção de Fornece'!I118</f>
        <v>0</v>
      </c>
      <c r="F118" s="30" t="e">
        <f>'Critérios de Seleção de Fornece'!L118</f>
        <v>#DIV/0!</v>
      </c>
      <c r="G118" s="30" t="e">
        <f>'Critérios de Seleção de Fornece'!O118</f>
        <v>#DIV/0!</v>
      </c>
      <c r="H118" s="30">
        <f>'Critérios de Seleção de Fornece'!Q118</f>
        <v>0</v>
      </c>
      <c r="I118" s="30" t="e">
        <f>'Critérios de Seleção de Fornece'!T118</f>
        <v>#DIV/0!</v>
      </c>
      <c r="J118" s="30" t="e">
        <f>'Critérios de Seleção de Fornece'!W118</f>
        <v>#DIV/0!</v>
      </c>
      <c r="K118" s="31" t="e">
        <f t="shared" si="12"/>
        <v>#DIV/0!</v>
      </c>
      <c r="L118" s="14"/>
      <c r="M118" s="14"/>
      <c r="N118" s="33">
        <f t="shared" si="13"/>
        <v>3</v>
      </c>
      <c r="O118" s="34" t="e">
        <f t="shared" si="14"/>
        <v>#DIV/0!</v>
      </c>
      <c r="P118" s="39" t="e">
        <f t="shared" si="15"/>
        <v>#DIV/0!</v>
      </c>
      <c r="Q118" s="11"/>
    </row>
    <row r="119" spans="2:17" x14ac:dyDescent="0.3">
      <c r="B119" s="30">
        <f>'Critérios de Seleção de Fornece'!B119</f>
        <v>114</v>
      </c>
      <c r="C119" s="30">
        <f>'Critérios de Seleção de Fornece'!C119</f>
        <v>0</v>
      </c>
      <c r="D119" s="30">
        <f>'Critérios de Seleção de Fornece'!H119</f>
        <v>0</v>
      </c>
      <c r="E119" s="30">
        <f>'Critérios de Seleção de Fornece'!I119</f>
        <v>0</v>
      </c>
      <c r="F119" s="30" t="e">
        <f>'Critérios de Seleção de Fornece'!L119</f>
        <v>#DIV/0!</v>
      </c>
      <c r="G119" s="30" t="e">
        <f>'Critérios de Seleção de Fornece'!O119</f>
        <v>#DIV/0!</v>
      </c>
      <c r="H119" s="30">
        <f>'Critérios de Seleção de Fornece'!Q119</f>
        <v>0</v>
      </c>
      <c r="I119" s="30" t="e">
        <f>'Critérios de Seleção de Fornece'!T119</f>
        <v>#DIV/0!</v>
      </c>
      <c r="J119" s="30" t="e">
        <f>'Critérios de Seleção de Fornece'!W119</f>
        <v>#DIV/0!</v>
      </c>
      <c r="K119" s="31" t="e">
        <f t="shared" si="12"/>
        <v>#DIV/0!</v>
      </c>
      <c r="L119" s="14"/>
      <c r="M119" s="14"/>
      <c r="N119" s="33">
        <f t="shared" si="13"/>
        <v>3</v>
      </c>
      <c r="O119" s="34" t="e">
        <f t="shared" si="14"/>
        <v>#DIV/0!</v>
      </c>
      <c r="P119" s="39" t="e">
        <f t="shared" si="15"/>
        <v>#DIV/0!</v>
      </c>
      <c r="Q119" s="11"/>
    </row>
    <row r="120" spans="2:17" x14ac:dyDescent="0.3">
      <c r="B120" s="30">
        <f>'Critérios de Seleção de Fornece'!B120</f>
        <v>115</v>
      </c>
      <c r="C120" s="30">
        <f>'Critérios de Seleção de Fornece'!C120</f>
        <v>0</v>
      </c>
      <c r="D120" s="30">
        <f>'Critérios de Seleção de Fornece'!H120</f>
        <v>0</v>
      </c>
      <c r="E120" s="30">
        <f>'Critérios de Seleção de Fornece'!I120</f>
        <v>0</v>
      </c>
      <c r="F120" s="30" t="e">
        <f>'Critérios de Seleção de Fornece'!L120</f>
        <v>#DIV/0!</v>
      </c>
      <c r="G120" s="30" t="e">
        <f>'Critérios de Seleção de Fornece'!O120</f>
        <v>#DIV/0!</v>
      </c>
      <c r="H120" s="30">
        <f>'Critérios de Seleção de Fornece'!Q120</f>
        <v>0</v>
      </c>
      <c r="I120" s="30" t="e">
        <f>'Critérios de Seleção de Fornece'!T120</f>
        <v>#DIV/0!</v>
      </c>
      <c r="J120" s="30" t="e">
        <f>'Critérios de Seleção de Fornece'!W120</f>
        <v>#DIV/0!</v>
      </c>
      <c r="K120" s="31" t="e">
        <f t="shared" si="12"/>
        <v>#DIV/0!</v>
      </c>
      <c r="L120" s="14"/>
      <c r="M120" s="14"/>
      <c r="N120" s="33">
        <f t="shared" si="13"/>
        <v>3</v>
      </c>
      <c r="O120" s="34" t="e">
        <f t="shared" si="14"/>
        <v>#DIV/0!</v>
      </c>
      <c r="P120" s="39" t="e">
        <f t="shared" si="15"/>
        <v>#DIV/0!</v>
      </c>
      <c r="Q120" s="11"/>
    </row>
    <row r="121" spans="2:17" x14ac:dyDescent="0.3">
      <c r="B121" s="30">
        <f>'Critérios de Seleção de Fornece'!B121</f>
        <v>116</v>
      </c>
      <c r="C121" s="30">
        <f>'Critérios de Seleção de Fornece'!C121</f>
        <v>0</v>
      </c>
      <c r="D121" s="30">
        <f>'Critérios de Seleção de Fornece'!H121</f>
        <v>0</v>
      </c>
      <c r="E121" s="30">
        <f>'Critérios de Seleção de Fornece'!I121</f>
        <v>0</v>
      </c>
      <c r="F121" s="30" t="e">
        <f>'Critérios de Seleção de Fornece'!L121</f>
        <v>#DIV/0!</v>
      </c>
      <c r="G121" s="30" t="e">
        <f>'Critérios de Seleção de Fornece'!O121</f>
        <v>#DIV/0!</v>
      </c>
      <c r="H121" s="30">
        <f>'Critérios de Seleção de Fornece'!Q121</f>
        <v>0</v>
      </c>
      <c r="I121" s="30" t="e">
        <f>'Critérios de Seleção de Fornece'!T121</f>
        <v>#DIV/0!</v>
      </c>
      <c r="J121" s="30" t="e">
        <f>'Critérios de Seleção de Fornece'!W121</f>
        <v>#DIV/0!</v>
      </c>
      <c r="K121" s="31" t="e">
        <f t="shared" si="12"/>
        <v>#DIV/0!</v>
      </c>
      <c r="L121" s="14"/>
      <c r="M121" s="14"/>
      <c r="N121" s="33">
        <f t="shared" si="13"/>
        <v>3</v>
      </c>
      <c r="O121" s="34" t="e">
        <f t="shared" si="14"/>
        <v>#DIV/0!</v>
      </c>
      <c r="P121" s="39" t="e">
        <f t="shared" si="15"/>
        <v>#DIV/0!</v>
      </c>
      <c r="Q121" s="11"/>
    </row>
    <row r="122" spans="2:17" x14ac:dyDescent="0.3">
      <c r="B122" s="30">
        <f>'Critérios de Seleção de Fornece'!B122</f>
        <v>117</v>
      </c>
      <c r="C122" s="30">
        <f>'Critérios de Seleção de Fornece'!C122</f>
        <v>0</v>
      </c>
      <c r="D122" s="30">
        <f>'Critérios de Seleção de Fornece'!H122</f>
        <v>0</v>
      </c>
      <c r="E122" s="30">
        <f>'Critérios de Seleção de Fornece'!I122</f>
        <v>0</v>
      </c>
      <c r="F122" s="30" t="e">
        <f>'Critérios de Seleção de Fornece'!L122</f>
        <v>#DIV/0!</v>
      </c>
      <c r="G122" s="30" t="e">
        <f>'Critérios de Seleção de Fornece'!O122</f>
        <v>#DIV/0!</v>
      </c>
      <c r="H122" s="30">
        <f>'Critérios de Seleção de Fornece'!Q122</f>
        <v>0</v>
      </c>
      <c r="I122" s="30" t="e">
        <f>'Critérios de Seleção de Fornece'!T122</f>
        <v>#DIV/0!</v>
      </c>
      <c r="J122" s="30" t="e">
        <f>'Critérios de Seleção de Fornece'!W122</f>
        <v>#DIV/0!</v>
      </c>
      <c r="K122" s="31" t="e">
        <f t="shared" si="12"/>
        <v>#DIV/0!</v>
      </c>
      <c r="L122" s="14"/>
      <c r="M122" s="14"/>
      <c r="N122" s="33">
        <f t="shared" si="13"/>
        <v>3</v>
      </c>
      <c r="O122" s="34" t="e">
        <f t="shared" si="14"/>
        <v>#DIV/0!</v>
      </c>
      <c r="P122" s="39" t="e">
        <f t="shared" si="15"/>
        <v>#DIV/0!</v>
      </c>
      <c r="Q122" s="11"/>
    </row>
    <row r="123" spans="2:17" x14ac:dyDescent="0.3">
      <c r="B123" s="30">
        <f>'Critérios de Seleção de Fornece'!B123</f>
        <v>118</v>
      </c>
      <c r="C123" s="30">
        <f>'Critérios de Seleção de Fornece'!C123</f>
        <v>0</v>
      </c>
      <c r="D123" s="30">
        <f>'Critérios de Seleção de Fornece'!H123</f>
        <v>0</v>
      </c>
      <c r="E123" s="30">
        <f>'Critérios de Seleção de Fornece'!I123</f>
        <v>0</v>
      </c>
      <c r="F123" s="30" t="e">
        <f>'Critérios de Seleção de Fornece'!L123</f>
        <v>#DIV/0!</v>
      </c>
      <c r="G123" s="30" t="e">
        <f>'Critérios de Seleção de Fornece'!O123</f>
        <v>#DIV/0!</v>
      </c>
      <c r="H123" s="30">
        <f>'Critérios de Seleção de Fornece'!Q123</f>
        <v>0</v>
      </c>
      <c r="I123" s="30" t="e">
        <f>'Critérios de Seleção de Fornece'!T123</f>
        <v>#DIV/0!</v>
      </c>
      <c r="J123" s="30" t="e">
        <f>'Critérios de Seleção de Fornece'!W123</f>
        <v>#DIV/0!</v>
      </c>
      <c r="K123" s="31" t="e">
        <f t="shared" si="12"/>
        <v>#DIV/0!</v>
      </c>
      <c r="L123" s="14"/>
      <c r="M123" s="14"/>
      <c r="N123" s="33">
        <f t="shared" si="13"/>
        <v>3</v>
      </c>
      <c r="O123" s="34" t="e">
        <f t="shared" si="14"/>
        <v>#DIV/0!</v>
      </c>
      <c r="P123" s="39" t="e">
        <f t="shared" si="15"/>
        <v>#DIV/0!</v>
      </c>
      <c r="Q123" s="11"/>
    </row>
    <row r="124" spans="2:17" x14ac:dyDescent="0.3">
      <c r="B124" s="30">
        <f>'Critérios de Seleção de Fornece'!B124</f>
        <v>119</v>
      </c>
      <c r="C124" s="30">
        <f>'Critérios de Seleção de Fornece'!C124</f>
        <v>0</v>
      </c>
      <c r="D124" s="30">
        <f>'Critérios de Seleção de Fornece'!H124</f>
        <v>0</v>
      </c>
      <c r="E124" s="30">
        <f>'Critérios de Seleção de Fornece'!I124</f>
        <v>0</v>
      </c>
      <c r="F124" s="30" t="e">
        <f>'Critérios de Seleção de Fornece'!L124</f>
        <v>#DIV/0!</v>
      </c>
      <c r="G124" s="30" t="e">
        <f>'Critérios de Seleção de Fornece'!O124</f>
        <v>#DIV/0!</v>
      </c>
      <c r="H124" s="30">
        <f>'Critérios de Seleção de Fornece'!Q124</f>
        <v>0</v>
      </c>
      <c r="I124" s="30" t="e">
        <f>'Critérios de Seleção de Fornece'!T124</f>
        <v>#DIV/0!</v>
      </c>
      <c r="J124" s="30" t="e">
        <f>'Critérios de Seleção de Fornece'!W124</f>
        <v>#DIV/0!</v>
      </c>
      <c r="K124" s="31" t="e">
        <f t="shared" si="12"/>
        <v>#DIV/0!</v>
      </c>
      <c r="L124" s="14"/>
      <c r="M124" s="14"/>
      <c r="N124" s="33">
        <f t="shared" si="13"/>
        <v>3</v>
      </c>
      <c r="O124" s="34" t="e">
        <f t="shared" si="14"/>
        <v>#DIV/0!</v>
      </c>
      <c r="P124" s="39" t="e">
        <f t="shared" si="15"/>
        <v>#DIV/0!</v>
      </c>
      <c r="Q124" s="11"/>
    </row>
    <row r="125" spans="2:17" x14ac:dyDescent="0.3">
      <c r="B125" s="30">
        <f>'Critérios de Seleção de Fornece'!B125</f>
        <v>120</v>
      </c>
      <c r="C125" s="30">
        <f>'Critérios de Seleção de Fornece'!C125</f>
        <v>0</v>
      </c>
      <c r="D125" s="30">
        <f>'Critérios de Seleção de Fornece'!H125</f>
        <v>0</v>
      </c>
      <c r="E125" s="30">
        <f>'Critérios de Seleção de Fornece'!I125</f>
        <v>0</v>
      </c>
      <c r="F125" s="30" t="e">
        <f>'Critérios de Seleção de Fornece'!L125</f>
        <v>#DIV/0!</v>
      </c>
      <c r="G125" s="30" t="e">
        <f>'Critérios de Seleção de Fornece'!O125</f>
        <v>#DIV/0!</v>
      </c>
      <c r="H125" s="30">
        <f>'Critérios de Seleção de Fornece'!Q125</f>
        <v>0</v>
      </c>
      <c r="I125" s="30" t="e">
        <f>'Critérios de Seleção de Fornece'!T125</f>
        <v>#DIV/0!</v>
      </c>
      <c r="J125" s="30" t="e">
        <f>'Critérios de Seleção de Fornece'!W125</f>
        <v>#DIV/0!</v>
      </c>
      <c r="K125" s="31" t="e">
        <f t="shared" si="12"/>
        <v>#DIV/0!</v>
      </c>
      <c r="L125" s="14"/>
      <c r="M125" s="14"/>
      <c r="N125" s="33">
        <f t="shared" si="13"/>
        <v>3</v>
      </c>
      <c r="O125" s="34" t="e">
        <f t="shared" si="14"/>
        <v>#DIV/0!</v>
      </c>
      <c r="P125" s="39" t="e">
        <f t="shared" si="15"/>
        <v>#DIV/0!</v>
      </c>
      <c r="Q125" s="11"/>
    </row>
    <row r="126" spans="2:17" x14ac:dyDescent="0.3">
      <c r="B126" s="30">
        <f>'Critérios de Seleção de Fornece'!B126</f>
        <v>121</v>
      </c>
      <c r="C126" s="30">
        <f>'Critérios de Seleção de Fornece'!C126</f>
        <v>0</v>
      </c>
      <c r="D126" s="30">
        <f>'Critérios de Seleção de Fornece'!H126</f>
        <v>0</v>
      </c>
      <c r="E126" s="30">
        <f>'Critérios de Seleção de Fornece'!I126</f>
        <v>0</v>
      </c>
      <c r="F126" s="30" t="e">
        <f>'Critérios de Seleção de Fornece'!L126</f>
        <v>#DIV/0!</v>
      </c>
      <c r="G126" s="30" t="e">
        <f>'Critérios de Seleção de Fornece'!O126</f>
        <v>#DIV/0!</v>
      </c>
      <c r="H126" s="30">
        <f>'Critérios de Seleção de Fornece'!Q126</f>
        <v>0</v>
      </c>
      <c r="I126" s="30" t="e">
        <f>'Critérios de Seleção de Fornece'!T126</f>
        <v>#DIV/0!</v>
      </c>
      <c r="J126" s="30" t="e">
        <f>'Critérios de Seleção de Fornece'!W126</f>
        <v>#DIV/0!</v>
      </c>
      <c r="K126" s="31" t="e">
        <f t="shared" si="12"/>
        <v>#DIV/0!</v>
      </c>
      <c r="L126" s="14"/>
      <c r="M126" s="14"/>
      <c r="N126" s="33">
        <f t="shared" si="13"/>
        <v>3</v>
      </c>
      <c r="O126" s="34" t="e">
        <f t="shared" si="14"/>
        <v>#DIV/0!</v>
      </c>
      <c r="P126" s="39" t="e">
        <f t="shared" si="15"/>
        <v>#DIV/0!</v>
      </c>
      <c r="Q126" s="11"/>
    </row>
    <row r="127" spans="2:17" x14ac:dyDescent="0.3">
      <c r="B127" s="30">
        <f>'Critérios de Seleção de Fornece'!B127</f>
        <v>122</v>
      </c>
      <c r="C127" s="30">
        <f>'Critérios de Seleção de Fornece'!C127</f>
        <v>0</v>
      </c>
      <c r="D127" s="30">
        <f>'Critérios de Seleção de Fornece'!H127</f>
        <v>0</v>
      </c>
      <c r="E127" s="30">
        <f>'Critérios de Seleção de Fornece'!I127</f>
        <v>0</v>
      </c>
      <c r="F127" s="30" t="e">
        <f>'Critérios de Seleção de Fornece'!L127</f>
        <v>#DIV/0!</v>
      </c>
      <c r="G127" s="30" t="e">
        <f>'Critérios de Seleção de Fornece'!O127</f>
        <v>#DIV/0!</v>
      </c>
      <c r="H127" s="30">
        <f>'Critérios de Seleção de Fornece'!Q127</f>
        <v>0</v>
      </c>
      <c r="I127" s="30" t="e">
        <f>'Critérios de Seleção de Fornece'!T127</f>
        <v>#DIV/0!</v>
      </c>
      <c r="J127" s="30" t="e">
        <f>'Critérios de Seleção de Fornece'!W127</f>
        <v>#DIV/0!</v>
      </c>
      <c r="K127" s="31" t="e">
        <f t="shared" si="12"/>
        <v>#DIV/0!</v>
      </c>
      <c r="L127" s="14"/>
      <c r="M127" s="14"/>
      <c r="N127" s="33">
        <f t="shared" si="13"/>
        <v>3</v>
      </c>
      <c r="O127" s="34" t="e">
        <f t="shared" si="14"/>
        <v>#DIV/0!</v>
      </c>
      <c r="P127" s="39" t="e">
        <f t="shared" si="15"/>
        <v>#DIV/0!</v>
      </c>
      <c r="Q127" s="11"/>
    </row>
    <row r="128" spans="2:17" x14ac:dyDescent="0.3">
      <c r="B128" s="30">
        <f>'Critérios de Seleção de Fornece'!B128</f>
        <v>123</v>
      </c>
      <c r="C128" s="30">
        <f>'Critérios de Seleção de Fornece'!C128</f>
        <v>0</v>
      </c>
      <c r="D128" s="30">
        <f>'Critérios de Seleção de Fornece'!H128</f>
        <v>0</v>
      </c>
      <c r="E128" s="30">
        <f>'Critérios de Seleção de Fornece'!I128</f>
        <v>0</v>
      </c>
      <c r="F128" s="30" t="e">
        <f>'Critérios de Seleção de Fornece'!L128</f>
        <v>#DIV/0!</v>
      </c>
      <c r="G128" s="30" t="e">
        <f>'Critérios de Seleção de Fornece'!O128</f>
        <v>#DIV/0!</v>
      </c>
      <c r="H128" s="30">
        <f>'Critérios de Seleção de Fornece'!Q128</f>
        <v>0</v>
      </c>
      <c r="I128" s="30" t="e">
        <f>'Critérios de Seleção de Fornece'!T128</f>
        <v>#DIV/0!</v>
      </c>
      <c r="J128" s="30" t="e">
        <f>'Critérios de Seleção de Fornece'!W128</f>
        <v>#DIV/0!</v>
      </c>
      <c r="K128" s="31" t="e">
        <f t="shared" si="12"/>
        <v>#DIV/0!</v>
      </c>
      <c r="L128" s="14"/>
      <c r="M128" s="14"/>
      <c r="N128" s="33">
        <f t="shared" si="13"/>
        <v>3</v>
      </c>
      <c r="O128" s="34" t="e">
        <f t="shared" si="14"/>
        <v>#DIV/0!</v>
      </c>
      <c r="P128" s="39" t="e">
        <f t="shared" si="15"/>
        <v>#DIV/0!</v>
      </c>
      <c r="Q128" s="11"/>
    </row>
    <row r="129" spans="2:17" x14ac:dyDescent="0.3">
      <c r="B129" s="30">
        <f>'Critérios de Seleção de Fornece'!B129</f>
        <v>124</v>
      </c>
      <c r="C129" s="30">
        <f>'Critérios de Seleção de Fornece'!C129</f>
        <v>0</v>
      </c>
      <c r="D129" s="30">
        <f>'Critérios de Seleção de Fornece'!H129</f>
        <v>0</v>
      </c>
      <c r="E129" s="30">
        <f>'Critérios de Seleção de Fornece'!I129</f>
        <v>0</v>
      </c>
      <c r="F129" s="30" t="e">
        <f>'Critérios de Seleção de Fornece'!L129</f>
        <v>#DIV/0!</v>
      </c>
      <c r="G129" s="30" t="e">
        <f>'Critérios de Seleção de Fornece'!O129</f>
        <v>#DIV/0!</v>
      </c>
      <c r="H129" s="30">
        <f>'Critérios de Seleção de Fornece'!Q129</f>
        <v>0</v>
      </c>
      <c r="I129" s="30" t="e">
        <f>'Critérios de Seleção de Fornece'!T129</f>
        <v>#DIV/0!</v>
      </c>
      <c r="J129" s="30" t="e">
        <f>'Critérios de Seleção de Fornece'!W129</f>
        <v>#DIV/0!</v>
      </c>
      <c r="K129" s="31" t="e">
        <f t="shared" si="12"/>
        <v>#DIV/0!</v>
      </c>
      <c r="L129" s="14"/>
      <c r="M129" s="14"/>
      <c r="N129" s="33">
        <f t="shared" si="13"/>
        <v>3</v>
      </c>
      <c r="O129" s="34" t="e">
        <f t="shared" si="14"/>
        <v>#DIV/0!</v>
      </c>
      <c r="P129" s="39" t="e">
        <f t="shared" si="15"/>
        <v>#DIV/0!</v>
      </c>
      <c r="Q129" s="11"/>
    </row>
    <row r="130" spans="2:17" x14ac:dyDescent="0.3">
      <c r="B130" s="30">
        <f>'Critérios de Seleção de Fornece'!B130</f>
        <v>125</v>
      </c>
      <c r="C130" s="30">
        <f>'Critérios de Seleção de Fornece'!C130</f>
        <v>0</v>
      </c>
      <c r="D130" s="30">
        <f>'Critérios de Seleção de Fornece'!H130</f>
        <v>0</v>
      </c>
      <c r="E130" s="30">
        <f>'Critérios de Seleção de Fornece'!I130</f>
        <v>0</v>
      </c>
      <c r="F130" s="30" t="e">
        <f>'Critérios de Seleção de Fornece'!L130</f>
        <v>#DIV/0!</v>
      </c>
      <c r="G130" s="30" t="e">
        <f>'Critérios de Seleção de Fornece'!O130</f>
        <v>#DIV/0!</v>
      </c>
      <c r="H130" s="30">
        <f>'Critérios de Seleção de Fornece'!Q130</f>
        <v>0</v>
      </c>
      <c r="I130" s="30" t="e">
        <f>'Critérios de Seleção de Fornece'!T130</f>
        <v>#DIV/0!</v>
      </c>
      <c r="J130" s="30" t="e">
        <f>'Critérios de Seleção de Fornece'!W130</f>
        <v>#DIV/0!</v>
      </c>
      <c r="K130" s="31" t="e">
        <f t="shared" si="12"/>
        <v>#DIV/0!</v>
      </c>
      <c r="L130" s="14"/>
      <c r="M130" s="14"/>
      <c r="N130" s="33">
        <f t="shared" si="13"/>
        <v>3</v>
      </c>
      <c r="O130" s="34" t="e">
        <f t="shared" si="14"/>
        <v>#DIV/0!</v>
      </c>
      <c r="P130" s="39" t="e">
        <f t="shared" si="15"/>
        <v>#DIV/0!</v>
      </c>
      <c r="Q130" s="11"/>
    </row>
    <row r="131" spans="2:17" x14ac:dyDescent="0.3">
      <c r="B131" s="30">
        <f>'Critérios de Seleção de Fornece'!B131</f>
        <v>126</v>
      </c>
      <c r="C131" s="30">
        <f>'Critérios de Seleção de Fornece'!C131</f>
        <v>0</v>
      </c>
      <c r="D131" s="30">
        <f>'Critérios de Seleção de Fornece'!H131</f>
        <v>0</v>
      </c>
      <c r="E131" s="30">
        <f>'Critérios de Seleção de Fornece'!I131</f>
        <v>0</v>
      </c>
      <c r="F131" s="30" t="e">
        <f>'Critérios de Seleção de Fornece'!L131</f>
        <v>#DIV/0!</v>
      </c>
      <c r="G131" s="30" t="e">
        <f>'Critérios de Seleção de Fornece'!O131</f>
        <v>#DIV/0!</v>
      </c>
      <c r="H131" s="30">
        <f>'Critérios de Seleção de Fornece'!Q131</f>
        <v>0</v>
      </c>
      <c r="I131" s="30" t="e">
        <f>'Critérios de Seleção de Fornece'!T131</f>
        <v>#DIV/0!</v>
      </c>
      <c r="J131" s="30" t="e">
        <f>'Critérios de Seleção de Fornece'!W131</f>
        <v>#DIV/0!</v>
      </c>
      <c r="K131" s="31" t="e">
        <f t="shared" si="12"/>
        <v>#DIV/0!</v>
      </c>
      <c r="L131" s="14"/>
      <c r="M131" s="14"/>
      <c r="N131" s="33">
        <f t="shared" si="13"/>
        <v>3</v>
      </c>
      <c r="O131" s="34" t="e">
        <f t="shared" si="14"/>
        <v>#DIV/0!</v>
      </c>
      <c r="P131" s="39" t="e">
        <f t="shared" si="15"/>
        <v>#DIV/0!</v>
      </c>
      <c r="Q131" s="11"/>
    </row>
    <row r="132" spans="2:17" x14ac:dyDescent="0.3">
      <c r="B132" s="30">
        <f>'Critérios de Seleção de Fornece'!B132</f>
        <v>127</v>
      </c>
      <c r="C132" s="30">
        <f>'Critérios de Seleção de Fornece'!C132</f>
        <v>0</v>
      </c>
      <c r="D132" s="30">
        <f>'Critérios de Seleção de Fornece'!H132</f>
        <v>0</v>
      </c>
      <c r="E132" s="30">
        <f>'Critérios de Seleção de Fornece'!I132</f>
        <v>0</v>
      </c>
      <c r="F132" s="30" t="e">
        <f>'Critérios de Seleção de Fornece'!L132</f>
        <v>#DIV/0!</v>
      </c>
      <c r="G132" s="30" t="e">
        <f>'Critérios de Seleção de Fornece'!O132</f>
        <v>#DIV/0!</v>
      </c>
      <c r="H132" s="30">
        <f>'Critérios de Seleção de Fornece'!Q132</f>
        <v>0</v>
      </c>
      <c r="I132" s="30" t="e">
        <f>'Critérios de Seleção de Fornece'!T132</f>
        <v>#DIV/0!</v>
      </c>
      <c r="J132" s="30" t="e">
        <f>'Critérios de Seleção de Fornece'!W132</f>
        <v>#DIV/0!</v>
      </c>
      <c r="K132" s="31" t="e">
        <f t="shared" si="12"/>
        <v>#DIV/0!</v>
      </c>
      <c r="L132" s="14"/>
      <c r="M132" s="14"/>
      <c r="N132" s="33">
        <f t="shared" si="13"/>
        <v>3</v>
      </c>
      <c r="O132" s="34" t="e">
        <f t="shared" si="14"/>
        <v>#DIV/0!</v>
      </c>
      <c r="P132" s="39" t="e">
        <f t="shared" si="15"/>
        <v>#DIV/0!</v>
      </c>
      <c r="Q132" s="11"/>
    </row>
    <row r="133" spans="2:17" x14ac:dyDescent="0.3">
      <c r="B133" s="30">
        <f>'Critérios de Seleção de Fornece'!B133</f>
        <v>128</v>
      </c>
      <c r="C133" s="30">
        <f>'Critérios de Seleção de Fornece'!C133</f>
        <v>0</v>
      </c>
      <c r="D133" s="30">
        <f>'Critérios de Seleção de Fornece'!H133</f>
        <v>0</v>
      </c>
      <c r="E133" s="30">
        <f>'Critérios de Seleção de Fornece'!I133</f>
        <v>0</v>
      </c>
      <c r="F133" s="30" t="e">
        <f>'Critérios de Seleção de Fornece'!L133</f>
        <v>#DIV/0!</v>
      </c>
      <c r="G133" s="30" t="e">
        <f>'Critérios de Seleção de Fornece'!O133</f>
        <v>#DIV/0!</v>
      </c>
      <c r="H133" s="30">
        <f>'Critérios de Seleção de Fornece'!Q133</f>
        <v>0</v>
      </c>
      <c r="I133" s="30" t="e">
        <f>'Critérios de Seleção de Fornece'!T133</f>
        <v>#DIV/0!</v>
      </c>
      <c r="J133" s="30" t="e">
        <f>'Critérios de Seleção de Fornece'!W133</f>
        <v>#DIV/0!</v>
      </c>
      <c r="K133" s="31" t="e">
        <f t="shared" si="12"/>
        <v>#DIV/0!</v>
      </c>
      <c r="L133" s="14"/>
      <c r="M133" s="14"/>
      <c r="N133" s="33">
        <f t="shared" si="13"/>
        <v>3</v>
      </c>
      <c r="O133" s="34" t="e">
        <f t="shared" si="14"/>
        <v>#DIV/0!</v>
      </c>
      <c r="P133" s="39" t="e">
        <f t="shared" si="15"/>
        <v>#DIV/0!</v>
      </c>
      <c r="Q133" s="11"/>
    </row>
    <row r="134" spans="2:17" x14ac:dyDescent="0.3">
      <c r="B134" s="30">
        <f>'Critérios de Seleção de Fornece'!B134</f>
        <v>129</v>
      </c>
      <c r="C134" s="30">
        <f>'Critérios de Seleção de Fornece'!C134</f>
        <v>0</v>
      </c>
      <c r="D134" s="30">
        <f>'Critérios de Seleção de Fornece'!H134</f>
        <v>0</v>
      </c>
      <c r="E134" s="30">
        <f>'Critérios de Seleção de Fornece'!I134</f>
        <v>0</v>
      </c>
      <c r="F134" s="30" t="e">
        <f>'Critérios de Seleção de Fornece'!L134</f>
        <v>#DIV/0!</v>
      </c>
      <c r="G134" s="30" t="e">
        <f>'Critérios de Seleção de Fornece'!O134</f>
        <v>#DIV/0!</v>
      </c>
      <c r="H134" s="30">
        <f>'Critérios de Seleção de Fornece'!Q134</f>
        <v>0</v>
      </c>
      <c r="I134" s="30" t="e">
        <f>'Critérios de Seleção de Fornece'!T134</f>
        <v>#DIV/0!</v>
      </c>
      <c r="J134" s="30" t="e">
        <f>'Critérios de Seleção de Fornece'!W134</f>
        <v>#DIV/0!</v>
      </c>
      <c r="K134" s="31" t="e">
        <f t="shared" si="12"/>
        <v>#DIV/0!</v>
      </c>
      <c r="L134" s="14"/>
      <c r="M134" s="14"/>
      <c r="N134" s="33">
        <f t="shared" si="13"/>
        <v>3</v>
      </c>
      <c r="O134" s="34" t="e">
        <f t="shared" si="14"/>
        <v>#DIV/0!</v>
      </c>
      <c r="P134" s="39" t="e">
        <f t="shared" si="15"/>
        <v>#DIV/0!</v>
      </c>
      <c r="Q134" s="11"/>
    </row>
    <row r="135" spans="2:17" x14ac:dyDescent="0.3">
      <c r="B135" s="30">
        <f>'Critérios de Seleção de Fornece'!B135</f>
        <v>130</v>
      </c>
      <c r="C135" s="30">
        <f>'Critérios de Seleção de Fornece'!C135</f>
        <v>0</v>
      </c>
      <c r="D135" s="30">
        <f>'Critérios de Seleção de Fornece'!H135</f>
        <v>0</v>
      </c>
      <c r="E135" s="30">
        <f>'Critérios de Seleção de Fornece'!I135</f>
        <v>0</v>
      </c>
      <c r="F135" s="30" t="e">
        <f>'Critérios de Seleção de Fornece'!L135</f>
        <v>#DIV/0!</v>
      </c>
      <c r="G135" s="30" t="e">
        <f>'Critérios de Seleção de Fornece'!O135</f>
        <v>#DIV/0!</v>
      </c>
      <c r="H135" s="30">
        <f>'Critérios de Seleção de Fornece'!Q135</f>
        <v>0</v>
      </c>
      <c r="I135" s="30" t="e">
        <f>'Critérios de Seleção de Fornece'!T135</f>
        <v>#DIV/0!</v>
      </c>
      <c r="J135" s="30" t="e">
        <f>'Critérios de Seleção de Fornece'!W135</f>
        <v>#DIV/0!</v>
      </c>
      <c r="K135" s="31" t="e">
        <f t="shared" si="12"/>
        <v>#DIV/0!</v>
      </c>
      <c r="L135" s="14"/>
      <c r="M135" s="14"/>
      <c r="N135" s="33">
        <f t="shared" si="13"/>
        <v>3</v>
      </c>
      <c r="O135" s="34" t="e">
        <f t="shared" si="14"/>
        <v>#DIV/0!</v>
      </c>
      <c r="P135" s="39" t="e">
        <f t="shared" si="15"/>
        <v>#DIV/0!</v>
      </c>
      <c r="Q135" s="11"/>
    </row>
    <row r="136" spans="2:17" x14ac:dyDescent="0.3">
      <c r="B136" s="30">
        <f>'Critérios de Seleção de Fornece'!B136</f>
        <v>131</v>
      </c>
      <c r="C136" s="30">
        <f>'Critérios de Seleção de Fornece'!C136</f>
        <v>0</v>
      </c>
      <c r="D136" s="30">
        <f>'Critérios de Seleção de Fornece'!H136</f>
        <v>0</v>
      </c>
      <c r="E136" s="30">
        <f>'Critérios de Seleção de Fornece'!I136</f>
        <v>0</v>
      </c>
      <c r="F136" s="30" t="e">
        <f>'Critérios de Seleção de Fornece'!L136</f>
        <v>#DIV/0!</v>
      </c>
      <c r="G136" s="30" t="e">
        <f>'Critérios de Seleção de Fornece'!O136</f>
        <v>#DIV/0!</v>
      </c>
      <c r="H136" s="30">
        <f>'Critérios de Seleção de Fornece'!Q136</f>
        <v>0</v>
      </c>
      <c r="I136" s="30" t="e">
        <f>'Critérios de Seleção de Fornece'!T136</f>
        <v>#DIV/0!</v>
      </c>
      <c r="J136" s="30" t="e">
        <f>'Critérios de Seleção de Fornece'!W136</f>
        <v>#DIV/0!</v>
      </c>
      <c r="K136" s="31" t="e">
        <f t="shared" si="12"/>
        <v>#DIV/0!</v>
      </c>
      <c r="L136" s="14"/>
      <c r="M136" s="14"/>
      <c r="N136" s="33">
        <f t="shared" si="13"/>
        <v>3</v>
      </c>
      <c r="O136" s="34" t="e">
        <f t="shared" si="14"/>
        <v>#DIV/0!</v>
      </c>
      <c r="P136" s="39" t="e">
        <f t="shared" si="15"/>
        <v>#DIV/0!</v>
      </c>
      <c r="Q136" s="11"/>
    </row>
    <row r="137" spans="2:17" x14ac:dyDescent="0.3">
      <c r="B137" s="30">
        <f>'Critérios de Seleção de Fornece'!B137</f>
        <v>132</v>
      </c>
      <c r="C137" s="30">
        <f>'Critérios de Seleção de Fornece'!C137</f>
        <v>0</v>
      </c>
      <c r="D137" s="30">
        <f>'Critérios de Seleção de Fornece'!H137</f>
        <v>0</v>
      </c>
      <c r="E137" s="30">
        <f>'Critérios de Seleção de Fornece'!I137</f>
        <v>0</v>
      </c>
      <c r="F137" s="30" t="e">
        <f>'Critérios de Seleção de Fornece'!L137</f>
        <v>#DIV/0!</v>
      </c>
      <c r="G137" s="30" t="e">
        <f>'Critérios de Seleção de Fornece'!O137</f>
        <v>#DIV/0!</v>
      </c>
      <c r="H137" s="30">
        <f>'Critérios de Seleção de Fornece'!Q137</f>
        <v>0</v>
      </c>
      <c r="I137" s="30" t="e">
        <f>'Critérios de Seleção de Fornece'!T137</f>
        <v>#DIV/0!</v>
      </c>
      <c r="J137" s="30" t="e">
        <f>'Critérios de Seleção de Fornece'!W137</f>
        <v>#DIV/0!</v>
      </c>
      <c r="K137" s="31" t="e">
        <f t="shared" si="12"/>
        <v>#DIV/0!</v>
      </c>
      <c r="L137" s="14"/>
      <c r="M137" s="14"/>
      <c r="N137" s="33">
        <f t="shared" si="13"/>
        <v>3</v>
      </c>
      <c r="O137" s="34" t="e">
        <f t="shared" si="14"/>
        <v>#DIV/0!</v>
      </c>
      <c r="P137" s="39" t="e">
        <f t="shared" si="15"/>
        <v>#DIV/0!</v>
      </c>
      <c r="Q137" s="11"/>
    </row>
    <row r="138" spans="2:17" x14ac:dyDescent="0.3">
      <c r="B138" s="30">
        <f>'Critérios de Seleção de Fornece'!B138</f>
        <v>133</v>
      </c>
      <c r="C138" s="30">
        <f>'Critérios de Seleção de Fornece'!C138</f>
        <v>0</v>
      </c>
      <c r="D138" s="30">
        <f>'Critérios de Seleção de Fornece'!H138</f>
        <v>0</v>
      </c>
      <c r="E138" s="30">
        <f>'Critérios de Seleção de Fornece'!I138</f>
        <v>0</v>
      </c>
      <c r="F138" s="30" t="e">
        <f>'Critérios de Seleção de Fornece'!L138</f>
        <v>#DIV/0!</v>
      </c>
      <c r="G138" s="30" t="e">
        <f>'Critérios de Seleção de Fornece'!O138</f>
        <v>#DIV/0!</v>
      </c>
      <c r="H138" s="30">
        <f>'Critérios de Seleção de Fornece'!Q138</f>
        <v>0</v>
      </c>
      <c r="I138" s="30" t="e">
        <f>'Critérios de Seleção de Fornece'!T138</f>
        <v>#DIV/0!</v>
      </c>
      <c r="J138" s="30" t="e">
        <f>'Critérios de Seleção de Fornece'!W138</f>
        <v>#DIV/0!</v>
      </c>
      <c r="K138" s="31" t="e">
        <f t="shared" si="12"/>
        <v>#DIV/0!</v>
      </c>
      <c r="L138" s="14"/>
      <c r="M138" s="14"/>
      <c r="N138" s="33">
        <f t="shared" si="13"/>
        <v>3</v>
      </c>
      <c r="O138" s="34" t="e">
        <f t="shared" si="14"/>
        <v>#DIV/0!</v>
      </c>
      <c r="P138" s="39" t="e">
        <f t="shared" si="15"/>
        <v>#DIV/0!</v>
      </c>
      <c r="Q138" s="11"/>
    </row>
    <row r="139" spans="2:17" x14ac:dyDescent="0.3">
      <c r="B139" s="30">
        <f>'Critérios de Seleção de Fornece'!B139</f>
        <v>134</v>
      </c>
      <c r="C139" s="30">
        <f>'Critérios de Seleção de Fornece'!C139</f>
        <v>0</v>
      </c>
      <c r="D139" s="30">
        <f>'Critérios de Seleção de Fornece'!H139</f>
        <v>0</v>
      </c>
      <c r="E139" s="30">
        <f>'Critérios de Seleção de Fornece'!I139</f>
        <v>0</v>
      </c>
      <c r="F139" s="30" t="e">
        <f>'Critérios de Seleção de Fornece'!L139</f>
        <v>#DIV/0!</v>
      </c>
      <c r="G139" s="30" t="e">
        <f>'Critérios de Seleção de Fornece'!O139</f>
        <v>#DIV/0!</v>
      </c>
      <c r="H139" s="30">
        <f>'Critérios de Seleção de Fornece'!Q139</f>
        <v>0</v>
      </c>
      <c r="I139" s="30" t="e">
        <f>'Critérios de Seleção de Fornece'!T139</f>
        <v>#DIV/0!</v>
      </c>
      <c r="J139" s="30" t="e">
        <f>'Critérios de Seleção de Fornece'!W139</f>
        <v>#DIV/0!</v>
      </c>
      <c r="K139" s="31" t="e">
        <f t="shared" si="12"/>
        <v>#DIV/0!</v>
      </c>
      <c r="L139" s="14"/>
      <c r="M139" s="14"/>
      <c r="N139" s="33">
        <f t="shared" si="13"/>
        <v>3</v>
      </c>
      <c r="O139" s="34" t="e">
        <f t="shared" si="14"/>
        <v>#DIV/0!</v>
      </c>
      <c r="P139" s="39" t="e">
        <f t="shared" si="15"/>
        <v>#DIV/0!</v>
      </c>
      <c r="Q139" s="11"/>
    </row>
    <row r="140" spans="2:17" x14ac:dyDescent="0.3">
      <c r="B140" s="30">
        <f>'Critérios de Seleção de Fornece'!B140</f>
        <v>135</v>
      </c>
      <c r="C140" s="30">
        <f>'Critérios de Seleção de Fornece'!C140</f>
        <v>0</v>
      </c>
      <c r="D140" s="30">
        <f>'Critérios de Seleção de Fornece'!H140</f>
        <v>0</v>
      </c>
      <c r="E140" s="30">
        <f>'Critérios de Seleção de Fornece'!I140</f>
        <v>0</v>
      </c>
      <c r="F140" s="30" t="e">
        <f>'Critérios de Seleção de Fornece'!L140</f>
        <v>#DIV/0!</v>
      </c>
      <c r="G140" s="30" t="e">
        <f>'Critérios de Seleção de Fornece'!O140</f>
        <v>#DIV/0!</v>
      </c>
      <c r="H140" s="30">
        <f>'Critérios de Seleção de Fornece'!Q140</f>
        <v>0</v>
      </c>
      <c r="I140" s="30" t="e">
        <f>'Critérios de Seleção de Fornece'!T140</f>
        <v>#DIV/0!</v>
      </c>
      <c r="J140" s="30" t="e">
        <f>'Critérios de Seleção de Fornece'!W140</f>
        <v>#DIV/0!</v>
      </c>
      <c r="K140" s="31" t="e">
        <f t="shared" si="12"/>
        <v>#DIV/0!</v>
      </c>
      <c r="L140" s="14"/>
      <c r="M140" s="14"/>
      <c r="N140" s="33">
        <f t="shared" si="13"/>
        <v>3</v>
      </c>
      <c r="O140" s="34" t="e">
        <f t="shared" si="14"/>
        <v>#DIV/0!</v>
      </c>
      <c r="P140" s="39" t="e">
        <f t="shared" si="15"/>
        <v>#DIV/0!</v>
      </c>
      <c r="Q140" s="11"/>
    </row>
    <row r="141" spans="2:17" x14ac:dyDescent="0.3">
      <c r="B141" s="30">
        <f>'Critérios de Seleção de Fornece'!B141</f>
        <v>136</v>
      </c>
      <c r="C141" s="30">
        <f>'Critérios de Seleção de Fornece'!C141</f>
        <v>0</v>
      </c>
      <c r="D141" s="30">
        <f>'Critérios de Seleção de Fornece'!H141</f>
        <v>0</v>
      </c>
      <c r="E141" s="30">
        <f>'Critérios de Seleção de Fornece'!I141</f>
        <v>0</v>
      </c>
      <c r="F141" s="30" t="e">
        <f>'Critérios de Seleção de Fornece'!L141</f>
        <v>#DIV/0!</v>
      </c>
      <c r="G141" s="30" t="e">
        <f>'Critérios de Seleção de Fornece'!O141</f>
        <v>#DIV/0!</v>
      </c>
      <c r="H141" s="30">
        <f>'Critérios de Seleção de Fornece'!Q141</f>
        <v>0</v>
      </c>
      <c r="I141" s="30" t="e">
        <f>'Critérios de Seleção de Fornece'!T141</f>
        <v>#DIV/0!</v>
      </c>
      <c r="J141" s="30" t="e">
        <f>'Critérios de Seleção de Fornece'!W141</f>
        <v>#DIV/0!</v>
      </c>
      <c r="K141" s="31" t="e">
        <f t="shared" si="12"/>
        <v>#DIV/0!</v>
      </c>
      <c r="L141" s="14"/>
      <c r="M141" s="14"/>
      <c r="N141" s="33">
        <f t="shared" si="13"/>
        <v>3</v>
      </c>
      <c r="O141" s="34" t="e">
        <f t="shared" si="14"/>
        <v>#DIV/0!</v>
      </c>
      <c r="P141" s="39" t="e">
        <f t="shared" si="15"/>
        <v>#DIV/0!</v>
      </c>
      <c r="Q141" s="11"/>
    </row>
    <row r="142" spans="2:17" x14ac:dyDescent="0.3">
      <c r="B142" s="30">
        <f>'Critérios de Seleção de Fornece'!B142</f>
        <v>137</v>
      </c>
      <c r="C142" s="30">
        <f>'Critérios de Seleção de Fornece'!C142</f>
        <v>0</v>
      </c>
      <c r="D142" s="30">
        <f>'Critérios de Seleção de Fornece'!H142</f>
        <v>0</v>
      </c>
      <c r="E142" s="30">
        <f>'Critérios de Seleção de Fornece'!I142</f>
        <v>0</v>
      </c>
      <c r="F142" s="30" t="e">
        <f>'Critérios de Seleção de Fornece'!L142</f>
        <v>#DIV/0!</v>
      </c>
      <c r="G142" s="30" t="e">
        <f>'Critérios de Seleção de Fornece'!O142</f>
        <v>#DIV/0!</v>
      </c>
      <c r="H142" s="30">
        <f>'Critérios de Seleção de Fornece'!Q142</f>
        <v>0</v>
      </c>
      <c r="I142" s="30" t="e">
        <f>'Critérios de Seleção de Fornece'!T142</f>
        <v>#DIV/0!</v>
      </c>
      <c r="J142" s="30" t="e">
        <f>'Critérios de Seleção de Fornece'!W142</f>
        <v>#DIV/0!</v>
      </c>
      <c r="K142" s="31" t="e">
        <f t="shared" si="12"/>
        <v>#DIV/0!</v>
      </c>
      <c r="L142" s="14"/>
      <c r="M142" s="14"/>
      <c r="N142" s="33">
        <f t="shared" si="13"/>
        <v>3</v>
      </c>
      <c r="O142" s="34" t="e">
        <f t="shared" si="14"/>
        <v>#DIV/0!</v>
      </c>
      <c r="P142" s="39" t="e">
        <f t="shared" si="15"/>
        <v>#DIV/0!</v>
      </c>
      <c r="Q142" s="11"/>
    </row>
    <row r="143" spans="2:17" x14ac:dyDescent="0.3">
      <c r="B143" s="30">
        <f>'Critérios de Seleção de Fornece'!B143</f>
        <v>138</v>
      </c>
      <c r="C143" s="30">
        <f>'Critérios de Seleção de Fornece'!C143</f>
        <v>0</v>
      </c>
      <c r="D143" s="30">
        <f>'Critérios de Seleção de Fornece'!H143</f>
        <v>0</v>
      </c>
      <c r="E143" s="30">
        <f>'Critérios de Seleção de Fornece'!I143</f>
        <v>0</v>
      </c>
      <c r="F143" s="30" t="e">
        <f>'Critérios de Seleção de Fornece'!L143</f>
        <v>#DIV/0!</v>
      </c>
      <c r="G143" s="30" t="e">
        <f>'Critérios de Seleção de Fornece'!O143</f>
        <v>#DIV/0!</v>
      </c>
      <c r="H143" s="30">
        <f>'Critérios de Seleção de Fornece'!Q143</f>
        <v>0</v>
      </c>
      <c r="I143" s="30" t="e">
        <f>'Critérios de Seleção de Fornece'!T143</f>
        <v>#DIV/0!</v>
      </c>
      <c r="J143" s="30" t="e">
        <f>'Critérios de Seleção de Fornece'!W143</f>
        <v>#DIV/0!</v>
      </c>
      <c r="K143" s="31" t="e">
        <f t="shared" si="12"/>
        <v>#DIV/0!</v>
      </c>
      <c r="L143" s="14"/>
      <c r="M143" s="14"/>
      <c r="N143" s="33">
        <f t="shared" si="13"/>
        <v>3</v>
      </c>
      <c r="O143" s="34" t="e">
        <f t="shared" si="14"/>
        <v>#DIV/0!</v>
      </c>
      <c r="P143" s="39" t="e">
        <f t="shared" si="15"/>
        <v>#DIV/0!</v>
      </c>
      <c r="Q143" s="11"/>
    </row>
    <row r="144" spans="2:17" x14ac:dyDescent="0.3">
      <c r="B144" s="30">
        <f>'Critérios de Seleção de Fornece'!B144</f>
        <v>139</v>
      </c>
      <c r="C144" s="30">
        <f>'Critérios de Seleção de Fornece'!C144</f>
        <v>0</v>
      </c>
      <c r="D144" s="30">
        <f>'Critérios de Seleção de Fornece'!H144</f>
        <v>0</v>
      </c>
      <c r="E144" s="30">
        <f>'Critérios de Seleção de Fornece'!I144</f>
        <v>0</v>
      </c>
      <c r="F144" s="30" t="e">
        <f>'Critérios de Seleção de Fornece'!L144</f>
        <v>#DIV/0!</v>
      </c>
      <c r="G144" s="30" t="e">
        <f>'Critérios de Seleção de Fornece'!O144</f>
        <v>#DIV/0!</v>
      </c>
      <c r="H144" s="30">
        <f>'Critérios de Seleção de Fornece'!Q144</f>
        <v>0</v>
      </c>
      <c r="I144" s="30" t="e">
        <f>'Critérios de Seleção de Fornece'!T144</f>
        <v>#DIV/0!</v>
      </c>
      <c r="J144" s="30" t="e">
        <f>'Critérios de Seleção de Fornece'!W144</f>
        <v>#DIV/0!</v>
      </c>
      <c r="K144" s="31" t="e">
        <f t="shared" si="12"/>
        <v>#DIV/0!</v>
      </c>
      <c r="L144" s="14"/>
      <c r="M144" s="14"/>
      <c r="N144" s="33">
        <f t="shared" si="13"/>
        <v>3</v>
      </c>
      <c r="O144" s="34" t="e">
        <f t="shared" si="14"/>
        <v>#DIV/0!</v>
      </c>
      <c r="P144" s="39" t="e">
        <f t="shared" si="15"/>
        <v>#DIV/0!</v>
      </c>
      <c r="Q144" s="11"/>
    </row>
    <row r="145" spans="2:17" x14ac:dyDescent="0.3">
      <c r="B145" s="30">
        <f>'Critérios de Seleção de Fornece'!B145</f>
        <v>140</v>
      </c>
      <c r="C145" s="30">
        <f>'Critérios de Seleção de Fornece'!C145</f>
        <v>0</v>
      </c>
      <c r="D145" s="30">
        <f>'Critérios de Seleção de Fornece'!H145</f>
        <v>0</v>
      </c>
      <c r="E145" s="30">
        <f>'Critérios de Seleção de Fornece'!I145</f>
        <v>0</v>
      </c>
      <c r="F145" s="30" t="e">
        <f>'Critérios de Seleção de Fornece'!L145</f>
        <v>#DIV/0!</v>
      </c>
      <c r="G145" s="30" t="e">
        <f>'Critérios de Seleção de Fornece'!O145</f>
        <v>#DIV/0!</v>
      </c>
      <c r="H145" s="30">
        <f>'Critérios de Seleção de Fornece'!Q145</f>
        <v>0</v>
      </c>
      <c r="I145" s="30" t="e">
        <f>'Critérios de Seleção de Fornece'!T145</f>
        <v>#DIV/0!</v>
      </c>
      <c r="J145" s="30" t="e">
        <f>'Critérios de Seleção de Fornece'!W145</f>
        <v>#DIV/0!</v>
      </c>
      <c r="K145" s="31" t="e">
        <f t="shared" si="12"/>
        <v>#DIV/0!</v>
      </c>
      <c r="L145" s="14"/>
      <c r="M145" s="14"/>
      <c r="N145" s="33">
        <f t="shared" si="13"/>
        <v>3</v>
      </c>
      <c r="O145" s="34" t="e">
        <f t="shared" si="14"/>
        <v>#DIV/0!</v>
      </c>
      <c r="P145" s="39" t="e">
        <f t="shared" si="15"/>
        <v>#DIV/0!</v>
      </c>
      <c r="Q145" s="11"/>
    </row>
    <row r="146" spans="2:17" x14ac:dyDescent="0.3">
      <c r="B146" s="30">
        <f>'Critérios de Seleção de Fornece'!B146</f>
        <v>141</v>
      </c>
      <c r="C146" s="30">
        <f>'Critérios de Seleção de Fornece'!C146</f>
        <v>0</v>
      </c>
      <c r="D146" s="30">
        <f>'Critérios de Seleção de Fornece'!H146</f>
        <v>0</v>
      </c>
      <c r="E146" s="30">
        <f>'Critérios de Seleção de Fornece'!I146</f>
        <v>0</v>
      </c>
      <c r="F146" s="30" t="e">
        <f>'Critérios de Seleção de Fornece'!L146</f>
        <v>#DIV/0!</v>
      </c>
      <c r="G146" s="30" t="e">
        <f>'Critérios de Seleção de Fornece'!O146</f>
        <v>#DIV/0!</v>
      </c>
      <c r="H146" s="30">
        <f>'Critérios de Seleção de Fornece'!Q146</f>
        <v>0</v>
      </c>
      <c r="I146" s="30" t="e">
        <f>'Critérios de Seleção de Fornece'!T146</f>
        <v>#DIV/0!</v>
      </c>
      <c r="J146" s="30" t="e">
        <f>'Critérios de Seleção de Fornece'!W146</f>
        <v>#DIV/0!</v>
      </c>
      <c r="K146" s="31" t="e">
        <f t="shared" si="12"/>
        <v>#DIV/0!</v>
      </c>
      <c r="L146" s="14"/>
      <c r="M146" s="14"/>
      <c r="N146" s="33">
        <f t="shared" si="13"/>
        <v>3</v>
      </c>
      <c r="O146" s="34" t="e">
        <f t="shared" si="14"/>
        <v>#DIV/0!</v>
      </c>
      <c r="P146" s="39" t="e">
        <f t="shared" si="15"/>
        <v>#DIV/0!</v>
      </c>
      <c r="Q146" s="11"/>
    </row>
    <row r="147" spans="2:17" x14ac:dyDescent="0.3">
      <c r="B147" s="30">
        <f>'Critérios de Seleção de Fornece'!B147</f>
        <v>142</v>
      </c>
      <c r="C147" s="30">
        <f>'Critérios de Seleção de Fornece'!C147</f>
        <v>0</v>
      </c>
      <c r="D147" s="30">
        <f>'Critérios de Seleção de Fornece'!H147</f>
        <v>0</v>
      </c>
      <c r="E147" s="30">
        <f>'Critérios de Seleção de Fornece'!I147</f>
        <v>0</v>
      </c>
      <c r="F147" s="30" t="e">
        <f>'Critérios de Seleção de Fornece'!L147</f>
        <v>#DIV/0!</v>
      </c>
      <c r="G147" s="30" t="e">
        <f>'Critérios de Seleção de Fornece'!O147</f>
        <v>#DIV/0!</v>
      </c>
      <c r="H147" s="30">
        <f>'Critérios de Seleção de Fornece'!Q147</f>
        <v>0</v>
      </c>
      <c r="I147" s="30" t="e">
        <f>'Critérios de Seleção de Fornece'!T147</f>
        <v>#DIV/0!</v>
      </c>
      <c r="J147" s="30" t="e">
        <f>'Critérios de Seleção de Fornece'!W147</f>
        <v>#DIV/0!</v>
      </c>
      <c r="K147" s="31" t="e">
        <f t="shared" si="12"/>
        <v>#DIV/0!</v>
      </c>
      <c r="L147" s="14"/>
      <c r="M147" s="14"/>
      <c r="N147" s="33">
        <f t="shared" si="13"/>
        <v>3</v>
      </c>
      <c r="O147" s="34" t="e">
        <f t="shared" si="14"/>
        <v>#DIV/0!</v>
      </c>
      <c r="P147" s="39" t="e">
        <f t="shared" si="15"/>
        <v>#DIV/0!</v>
      </c>
      <c r="Q147" s="11"/>
    </row>
    <row r="148" spans="2:17" x14ac:dyDescent="0.3">
      <c r="B148" s="30">
        <f>'Critérios de Seleção de Fornece'!B148</f>
        <v>143</v>
      </c>
      <c r="C148" s="30">
        <f>'Critérios de Seleção de Fornece'!C148</f>
        <v>0</v>
      </c>
      <c r="D148" s="30">
        <f>'Critérios de Seleção de Fornece'!H148</f>
        <v>0</v>
      </c>
      <c r="E148" s="30">
        <f>'Critérios de Seleção de Fornece'!I148</f>
        <v>0</v>
      </c>
      <c r="F148" s="30" t="e">
        <f>'Critérios de Seleção de Fornece'!L148</f>
        <v>#DIV/0!</v>
      </c>
      <c r="G148" s="30" t="e">
        <f>'Critérios de Seleção de Fornece'!O148</f>
        <v>#DIV/0!</v>
      </c>
      <c r="H148" s="30">
        <f>'Critérios de Seleção de Fornece'!Q148</f>
        <v>0</v>
      </c>
      <c r="I148" s="30" t="e">
        <f>'Critérios de Seleção de Fornece'!T148</f>
        <v>#DIV/0!</v>
      </c>
      <c r="J148" s="30" t="e">
        <f>'Critérios de Seleção de Fornece'!W148</f>
        <v>#DIV/0!</v>
      </c>
      <c r="K148" s="31" t="e">
        <f t="shared" si="12"/>
        <v>#DIV/0!</v>
      </c>
      <c r="L148" s="14"/>
      <c r="M148" s="14"/>
      <c r="N148" s="33">
        <f t="shared" si="13"/>
        <v>3</v>
      </c>
      <c r="O148" s="34" t="e">
        <f t="shared" si="14"/>
        <v>#DIV/0!</v>
      </c>
      <c r="P148" s="39" t="e">
        <f t="shared" si="15"/>
        <v>#DIV/0!</v>
      </c>
      <c r="Q148" s="11"/>
    </row>
    <row r="149" spans="2:17" x14ac:dyDescent="0.3">
      <c r="B149" s="30">
        <f>'Critérios de Seleção de Fornece'!B149</f>
        <v>144</v>
      </c>
      <c r="C149" s="30">
        <f>'Critérios de Seleção de Fornece'!C149</f>
        <v>0</v>
      </c>
      <c r="D149" s="30">
        <f>'Critérios de Seleção de Fornece'!H149</f>
        <v>0</v>
      </c>
      <c r="E149" s="30">
        <f>'Critérios de Seleção de Fornece'!I149</f>
        <v>0</v>
      </c>
      <c r="F149" s="30" t="e">
        <f>'Critérios de Seleção de Fornece'!L149</f>
        <v>#DIV/0!</v>
      </c>
      <c r="G149" s="30" t="e">
        <f>'Critérios de Seleção de Fornece'!O149</f>
        <v>#DIV/0!</v>
      </c>
      <c r="H149" s="30">
        <f>'Critérios de Seleção de Fornece'!Q149</f>
        <v>0</v>
      </c>
      <c r="I149" s="30" t="e">
        <f>'Critérios de Seleção de Fornece'!T149</f>
        <v>#DIV/0!</v>
      </c>
      <c r="J149" s="30" t="e">
        <f>'Critérios de Seleção de Fornece'!W149</f>
        <v>#DIV/0!</v>
      </c>
      <c r="K149" s="31" t="e">
        <f t="shared" si="12"/>
        <v>#DIV/0!</v>
      </c>
      <c r="L149" s="14"/>
      <c r="M149" s="14"/>
      <c r="N149" s="33">
        <f t="shared" si="13"/>
        <v>3</v>
      </c>
      <c r="O149" s="34" t="e">
        <f t="shared" si="14"/>
        <v>#DIV/0!</v>
      </c>
      <c r="P149" s="39" t="e">
        <f t="shared" si="15"/>
        <v>#DIV/0!</v>
      </c>
      <c r="Q149" s="11"/>
    </row>
    <row r="150" spans="2:17" x14ac:dyDescent="0.3">
      <c r="B150" s="30">
        <f>'Critérios de Seleção de Fornece'!B150</f>
        <v>145</v>
      </c>
      <c r="C150" s="30">
        <f>'Critérios de Seleção de Fornece'!C150</f>
        <v>0</v>
      </c>
      <c r="D150" s="30">
        <f>'Critérios de Seleção de Fornece'!H150</f>
        <v>0</v>
      </c>
      <c r="E150" s="30">
        <f>'Critérios de Seleção de Fornece'!I150</f>
        <v>0</v>
      </c>
      <c r="F150" s="30" t="e">
        <f>'Critérios de Seleção de Fornece'!L150</f>
        <v>#DIV/0!</v>
      </c>
      <c r="G150" s="30" t="e">
        <f>'Critérios de Seleção de Fornece'!O150</f>
        <v>#DIV/0!</v>
      </c>
      <c r="H150" s="30">
        <f>'Critérios de Seleção de Fornece'!Q150</f>
        <v>0</v>
      </c>
      <c r="I150" s="30" t="e">
        <f>'Critérios de Seleção de Fornece'!T150</f>
        <v>#DIV/0!</v>
      </c>
      <c r="J150" s="30" t="e">
        <f>'Critérios de Seleção de Fornece'!W150</f>
        <v>#DIV/0!</v>
      </c>
      <c r="K150" s="31" t="e">
        <f t="shared" si="12"/>
        <v>#DIV/0!</v>
      </c>
      <c r="L150" s="14"/>
      <c r="M150" s="14"/>
      <c r="N150" s="33">
        <f t="shared" si="13"/>
        <v>3</v>
      </c>
      <c r="O150" s="34" t="e">
        <f t="shared" si="14"/>
        <v>#DIV/0!</v>
      </c>
      <c r="P150" s="39" t="e">
        <f t="shared" si="15"/>
        <v>#DIV/0!</v>
      </c>
      <c r="Q150" s="11"/>
    </row>
    <row r="151" spans="2:17" x14ac:dyDescent="0.3">
      <c r="B151" s="30">
        <f>'Critérios de Seleção de Fornece'!B151</f>
        <v>146</v>
      </c>
      <c r="C151" s="30">
        <f>'Critérios de Seleção de Fornece'!C151</f>
        <v>0</v>
      </c>
      <c r="D151" s="30">
        <f>'Critérios de Seleção de Fornece'!H151</f>
        <v>0</v>
      </c>
      <c r="E151" s="30">
        <f>'Critérios de Seleção de Fornece'!I151</f>
        <v>0</v>
      </c>
      <c r="F151" s="30" t="e">
        <f>'Critérios de Seleção de Fornece'!L151</f>
        <v>#DIV/0!</v>
      </c>
      <c r="G151" s="30" t="e">
        <f>'Critérios de Seleção de Fornece'!O151</f>
        <v>#DIV/0!</v>
      </c>
      <c r="H151" s="30">
        <f>'Critérios de Seleção de Fornece'!Q151</f>
        <v>0</v>
      </c>
      <c r="I151" s="30" t="e">
        <f>'Critérios de Seleção de Fornece'!T151</f>
        <v>#DIV/0!</v>
      </c>
      <c r="J151" s="30" t="e">
        <f>'Critérios de Seleção de Fornece'!W151</f>
        <v>#DIV/0!</v>
      </c>
      <c r="K151" s="31" t="e">
        <f t="shared" si="12"/>
        <v>#DIV/0!</v>
      </c>
      <c r="L151" s="14"/>
      <c r="M151" s="14"/>
      <c r="N151" s="33">
        <f t="shared" si="13"/>
        <v>3</v>
      </c>
      <c r="O151" s="34" t="e">
        <f t="shared" si="14"/>
        <v>#DIV/0!</v>
      </c>
      <c r="P151" s="39" t="e">
        <f t="shared" si="15"/>
        <v>#DIV/0!</v>
      </c>
      <c r="Q151" s="11"/>
    </row>
    <row r="152" spans="2:17" x14ac:dyDescent="0.3">
      <c r="B152" s="30">
        <f>'Critérios de Seleção de Fornece'!B152</f>
        <v>147</v>
      </c>
      <c r="C152" s="30">
        <f>'Critérios de Seleção de Fornece'!C152</f>
        <v>0</v>
      </c>
      <c r="D152" s="30">
        <f>'Critérios de Seleção de Fornece'!H152</f>
        <v>0</v>
      </c>
      <c r="E152" s="30">
        <f>'Critérios de Seleção de Fornece'!I152</f>
        <v>0</v>
      </c>
      <c r="F152" s="30" t="e">
        <f>'Critérios de Seleção de Fornece'!L152</f>
        <v>#DIV/0!</v>
      </c>
      <c r="G152" s="30" t="e">
        <f>'Critérios de Seleção de Fornece'!O152</f>
        <v>#DIV/0!</v>
      </c>
      <c r="H152" s="30">
        <f>'Critérios de Seleção de Fornece'!Q152</f>
        <v>0</v>
      </c>
      <c r="I152" s="30" t="e">
        <f>'Critérios de Seleção de Fornece'!T152</f>
        <v>#DIV/0!</v>
      </c>
      <c r="J152" s="30" t="e">
        <f>'Critérios de Seleção de Fornece'!W152</f>
        <v>#DIV/0!</v>
      </c>
      <c r="K152" s="31" t="e">
        <f t="shared" si="12"/>
        <v>#DIV/0!</v>
      </c>
      <c r="L152" s="14"/>
      <c r="M152" s="14"/>
      <c r="N152" s="33">
        <f t="shared" si="13"/>
        <v>3</v>
      </c>
      <c r="O152" s="34" t="e">
        <f t="shared" si="14"/>
        <v>#DIV/0!</v>
      </c>
      <c r="P152" s="39" t="e">
        <f t="shared" si="15"/>
        <v>#DIV/0!</v>
      </c>
      <c r="Q152" s="11"/>
    </row>
    <row r="153" spans="2:17" x14ac:dyDescent="0.3">
      <c r="B153" s="30">
        <f>'Critérios de Seleção de Fornece'!B153</f>
        <v>148</v>
      </c>
      <c r="C153" s="30">
        <f>'Critérios de Seleção de Fornece'!C153</f>
        <v>0</v>
      </c>
      <c r="D153" s="30">
        <f>'Critérios de Seleção de Fornece'!H153</f>
        <v>0</v>
      </c>
      <c r="E153" s="30">
        <f>'Critérios de Seleção de Fornece'!I153</f>
        <v>0</v>
      </c>
      <c r="F153" s="30" t="e">
        <f>'Critérios de Seleção de Fornece'!L153</f>
        <v>#DIV/0!</v>
      </c>
      <c r="G153" s="30" t="e">
        <f>'Critérios de Seleção de Fornece'!O153</f>
        <v>#DIV/0!</v>
      </c>
      <c r="H153" s="30">
        <f>'Critérios de Seleção de Fornece'!Q153</f>
        <v>0</v>
      </c>
      <c r="I153" s="30" t="e">
        <f>'Critérios de Seleção de Fornece'!T153</f>
        <v>#DIV/0!</v>
      </c>
      <c r="J153" s="30" t="e">
        <f>'Critérios de Seleção de Fornece'!W153</f>
        <v>#DIV/0!</v>
      </c>
      <c r="K153" s="31" t="e">
        <f t="shared" si="12"/>
        <v>#DIV/0!</v>
      </c>
      <c r="L153" s="14"/>
      <c r="M153" s="14"/>
      <c r="N153" s="33">
        <f t="shared" si="13"/>
        <v>3</v>
      </c>
      <c r="O153" s="34" t="e">
        <f t="shared" si="14"/>
        <v>#DIV/0!</v>
      </c>
      <c r="P153" s="39" t="e">
        <f t="shared" si="15"/>
        <v>#DIV/0!</v>
      </c>
      <c r="Q153" s="11"/>
    </row>
    <row r="154" spans="2:17" x14ac:dyDescent="0.3">
      <c r="B154" s="30">
        <f>'Critérios de Seleção de Fornece'!B154</f>
        <v>149</v>
      </c>
      <c r="C154" s="30">
        <f>'Critérios de Seleção de Fornece'!C154</f>
        <v>0</v>
      </c>
      <c r="D154" s="30">
        <f>'Critérios de Seleção de Fornece'!H154</f>
        <v>0</v>
      </c>
      <c r="E154" s="30">
        <f>'Critérios de Seleção de Fornece'!I154</f>
        <v>0</v>
      </c>
      <c r="F154" s="30" t="e">
        <f>'Critérios de Seleção de Fornece'!L154</f>
        <v>#DIV/0!</v>
      </c>
      <c r="G154" s="30" t="e">
        <f>'Critérios de Seleção de Fornece'!O154</f>
        <v>#DIV/0!</v>
      </c>
      <c r="H154" s="30">
        <f>'Critérios de Seleção de Fornece'!Q154</f>
        <v>0</v>
      </c>
      <c r="I154" s="30" t="e">
        <f>'Critérios de Seleção de Fornece'!T154</f>
        <v>#DIV/0!</v>
      </c>
      <c r="J154" s="30" t="e">
        <f>'Critérios de Seleção de Fornece'!W154</f>
        <v>#DIV/0!</v>
      </c>
      <c r="K154" s="31" t="e">
        <f t="shared" si="12"/>
        <v>#DIV/0!</v>
      </c>
      <c r="L154" s="14"/>
      <c r="M154" s="14"/>
      <c r="N154" s="33">
        <f t="shared" si="13"/>
        <v>3</v>
      </c>
      <c r="O154" s="34" t="e">
        <f t="shared" si="14"/>
        <v>#DIV/0!</v>
      </c>
      <c r="P154" s="39" t="e">
        <f t="shared" si="15"/>
        <v>#DIV/0!</v>
      </c>
      <c r="Q154" s="11"/>
    </row>
    <row r="155" spans="2:17" x14ac:dyDescent="0.3">
      <c r="B155" s="30">
        <f>'Critérios de Seleção de Fornece'!B155</f>
        <v>150</v>
      </c>
      <c r="C155" s="30">
        <f>'Critérios de Seleção de Fornece'!C155</f>
        <v>0</v>
      </c>
      <c r="D155" s="30">
        <f>'Critérios de Seleção de Fornece'!H155</f>
        <v>0</v>
      </c>
      <c r="E155" s="30">
        <f>'Critérios de Seleção de Fornece'!I155</f>
        <v>0</v>
      </c>
      <c r="F155" s="30" t="e">
        <f>'Critérios de Seleção de Fornece'!L155</f>
        <v>#DIV/0!</v>
      </c>
      <c r="G155" s="30" t="e">
        <f>'Critérios de Seleção de Fornece'!O155</f>
        <v>#DIV/0!</v>
      </c>
      <c r="H155" s="30">
        <f>'Critérios de Seleção de Fornece'!Q155</f>
        <v>0</v>
      </c>
      <c r="I155" s="30" t="e">
        <f>'Critérios de Seleção de Fornece'!T155</f>
        <v>#DIV/0!</v>
      </c>
      <c r="J155" s="30" t="e">
        <f>'Critérios de Seleção de Fornece'!W155</f>
        <v>#DIV/0!</v>
      </c>
      <c r="K155" s="31" t="e">
        <f t="shared" si="12"/>
        <v>#DIV/0!</v>
      </c>
      <c r="L155" s="14"/>
      <c r="M155" s="14"/>
      <c r="N155" s="33">
        <f t="shared" si="13"/>
        <v>3</v>
      </c>
      <c r="O155" s="34" t="e">
        <f t="shared" si="14"/>
        <v>#DIV/0!</v>
      </c>
      <c r="P155" s="39" t="e">
        <f t="shared" si="15"/>
        <v>#DIV/0!</v>
      </c>
      <c r="Q155" s="11"/>
    </row>
    <row r="156" spans="2:17" x14ac:dyDescent="0.3">
      <c r="B156" s="30">
        <f>'Critérios de Seleção de Fornece'!B156</f>
        <v>151</v>
      </c>
      <c r="C156" s="30">
        <f>'Critérios de Seleção de Fornece'!C156</f>
        <v>0</v>
      </c>
      <c r="D156" s="30">
        <f>'Critérios de Seleção de Fornece'!H156</f>
        <v>0</v>
      </c>
      <c r="E156" s="30">
        <f>'Critérios de Seleção de Fornece'!I156</f>
        <v>0</v>
      </c>
      <c r="F156" s="30" t="e">
        <f>'Critérios de Seleção de Fornece'!L156</f>
        <v>#DIV/0!</v>
      </c>
      <c r="G156" s="30" t="e">
        <f>'Critérios de Seleção de Fornece'!O156</f>
        <v>#DIV/0!</v>
      </c>
      <c r="H156" s="30">
        <f>'Critérios de Seleção de Fornece'!Q156</f>
        <v>0</v>
      </c>
      <c r="I156" s="30" t="e">
        <f>'Critérios de Seleção de Fornece'!T156</f>
        <v>#DIV/0!</v>
      </c>
      <c r="J156" s="30" t="e">
        <f>'Critérios de Seleção de Fornece'!W156</f>
        <v>#DIV/0!</v>
      </c>
      <c r="K156" s="31" t="e">
        <f t="shared" si="12"/>
        <v>#DIV/0!</v>
      </c>
      <c r="L156" s="14"/>
      <c r="M156" s="14"/>
      <c r="N156" s="33">
        <f t="shared" si="13"/>
        <v>3</v>
      </c>
      <c r="O156" s="34" t="e">
        <f t="shared" si="14"/>
        <v>#DIV/0!</v>
      </c>
      <c r="P156" s="39" t="e">
        <f t="shared" si="15"/>
        <v>#DIV/0!</v>
      </c>
      <c r="Q156" s="11"/>
    </row>
    <row r="157" spans="2:17" x14ac:dyDescent="0.3">
      <c r="B157" s="30">
        <f>'Critérios de Seleção de Fornece'!B157</f>
        <v>152</v>
      </c>
      <c r="C157" s="30">
        <f>'Critérios de Seleção de Fornece'!C157</f>
        <v>0</v>
      </c>
      <c r="D157" s="30">
        <f>'Critérios de Seleção de Fornece'!H157</f>
        <v>0</v>
      </c>
      <c r="E157" s="30">
        <f>'Critérios de Seleção de Fornece'!I157</f>
        <v>0</v>
      </c>
      <c r="F157" s="30" t="e">
        <f>'Critérios de Seleção de Fornece'!L157</f>
        <v>#DIV/0!</v>
      </c>
      <c r="G157" s="30" t="e">
        <f>'Critérios de Seleção de Fornece'!O157</f>
        <v>#DIV/0!</v>
      </c>
      <c r="H157" s="30">
        <f>'Critérios de Seleção de Fornece'!Q157</f>
        <v>0</v>
      </c>
      <c r="I157" s="30" t="e">
        <f>'Critérios de Seleção de Fornece'!T157</f>
        <v>#DIV/0!</v>
      </c>
      <c r="J157" s="30" t="e">
        <f>'Critérios de Seleção de Fornece'!W157</f>
        <v>#DIV/0!</v>
      </c>
      <c r="K157" s="31" t="e">
        <f t="shared" si="12"/>
        <v>#DIV/0!</v>
      </c>
      <c r="L157" s="14"/>
      <c r="M157" s="14"/>
      <c r="N157" s="33">
        <f t="shared" si="13"/>
        <v>3</v>
      </c>
      <c r="O157" s="34" t="e">
        <f t="shared" si="14"/>
        <v>#DIV/0!</v>
      </c>
      <c r="P157" s="39" t="e">
        <f t="shared" si="15"/>
        <v>#DIV/0!</v>
      </c>
      <c r="Q157" s="11"/>
    </row>
    <row r="158" spans="2:17" x14ac:dyDescent="0.3">
      <c r="B158" s="30">
        <f>'Critérios de Seleção de Fornece'!B158</f>
        <v>153</v>
      </c>
      <c r="C158" s="30">
        <f>'Critérios de Seleção de Fornece'!C158</f>
        <v>0</v>
      </c>
      <c r="D158" s="30">
        <f>'Critérios de Seleção de Fornece'!H158</f>
        <v>0</v>
      </c>
      <c r="E158" s="30">
        <f>'Critérios de Seleção de Fornece'!I158</f>
        <v>0</v>
      </c>
      <c r="F158" s="30" t="e">
        <f>'Critérios de Seleção de Fornece'!L158</f>
        <v>#DIV/0!</v>
      </c>
      <c r="G158" s="30" t="e">
        <f>'Critérios de Seleção de Fornece'!O158</f>
        <v>#DIV/0!</v>
      </c>
      <c r="H158" s="30">
        <f>'Critérios de Seleção de Fornece'!Q158</f>
        <v>0</v>
      </c>
      <c r="I158" s="30" t="e">
        <f>'Critérios de Seleção de Fornece'!T158</f>
        <v>#DIV/0!</v>
      </c>
      <c r="J158" s="30" t="e">
        <f>'Critérios de Seleção de Fornece'!W158</f>
        <v>#DIV/0!</v>
      </c>
      <c r="K158" s="31" t="e">
        <f t="shared" si="12"/>
        <v>#DIV/0!</v>
      </c>
      <c r="L158" s="14"/>
      <c r="M158" s="14"/>
      <c r="N158" s="33">
        <f t="shared" si="13"/>
        <v>3</v>
      </c>
      <c r="O158" s="34" t="e">
        <f t="shared" si="14"/>
        <v>#DIV/0!</v>
      </c>
      <c r="P158" s="39" t="e">
        <f t="shared" si="15"/>
        <v>#DIV/0!</v>
      </c>
      <c r="Q158" s="11"/>
    </row>
    <row r="159" spans="2:17" x14ac:dyDescent="0.3">
      <c r="B159" s="30">
        <f>'Critérios de Seleção de Fornece'!B159</f>
        <v>154</v>
      </c>
      <c r="C159" s="30">
        <f>'Critérios de Seleção de Fornece'!C159</f>
        <v>0</v>
      </c>
      <c r="D159" s="30">
        <f>'Critérios de Seleção de Fornece'!H159</f>
        <v>0</v>
      </c>
      <c r="E159" s="30">
        <f>'Critérios de Seleção de Fornece'!I159</f>
        <v>0</v>
      </c>
      <c r="F159" s="30" t="e">
        <f>'Critérios de Seleção de Fornece'!L159</f>
        <v>#DIV/0!</v>
      </c>
      <c r="G159" s="30" t="e">
        <f>'Critérios de Seleção de Fornece'!O159</f>
        <v>#DIV/0!</v>
      </c>
      <c r="H159" s="30">
        <f>'Critérios de Seleção de Fornece'!Q159</f>
        <v>0</v>
      </c>
      <c r="I159" s="30" t="e">
        <f>'Critérios de Seleção de Fornece'!T159</f>
        <v>#DIV/0!</v>
      </c>
      <c r="J159" s="30" t="e">
        <f>'Critérios de Seleção de Fornece'!W159</f>
        <v>#DIV/0!</v>
      </c>
      <c r="K159" s="31" t="e">
        <f t="shared" si="12"/>
        <v>#DIV/0!</v>
      </c>
      <c r="L159" s="14"/>
      <c r="M159" s="14"/>
      <c r="N159" s="33">
        <f t="shared" si="13"/>
        <v>3</v>
      </c>
      <c r="O159" s="34" t="e">
        <f t="shared" si="14"/>
        <v>#DIV/0!</v>
      </c>
      <c r="P159" s="39" t="e">
        <f t="shared" si="15"/>
        <v>#DIV/0!</v>
      </c>
      <c r="Q159" s="11"/>
    </row>
    <row r="160" spans="2:17" x14ac:dyDescent="0.3">
      <c r="B160" s="30">
        <f>'Critérios de Seleção de Fornece'!B160</f>
        <v>155</v>
      </c>
      <c r="C160" s="30">
        <f>'Critérios de Seleção de Fornece'!C160</f>
        <v>0</v>
      </c>
      <c r="D160" s="30">
        <f>'Critérios de Seleção de Fornece'!H160</f>
        <v>0</v>
      </c>
      <c r="E160" s="30">
        <f>'Critérios de Seleção de Fornece'!I160</f>
        <v>0</v>
      </c>
      <c r="F160" s="30" t="e">
        <f>'Critérios de Seleção de Fornece'!L160</f>
        <v>#DIV/0!</v>
      </c>
      <c r="G160" s="30" t="e">
        <f>'Critérios de Seleção de Fornece'!O160</f>
        <v>#DIV/0!</v>
      </c>
      <c r="H160" s="30">
        <f>'Critérios de Seleção de Fornece'!Q160</f>
        <v>0</v>
      </c>
      <c r="I160" s="30" t="e">
        <f>'Critérios de Seleção de Fornece'!T160</f>
        <v>#DIV/0!</v>
      </c>
      <c r="J160" s="30" t="e">
        <f>'Critérios de Seleção de Fornece'!W160</f>
        <v>#DIV/0!</v>
      </c>
      <c r="K160" s="31" t="e">
        <f t="shared" si="12"/>
        <v>#DIV/0!</v>
      </c>
      <c r="L160" s="14"/>
      <c r="M160" s="14"/>
      <c r="N160" s="33">
        <f t="shared" si="13"/>
        <v>3</v>
      </c>
      <c r="O160" s="34" t="e">
        <f t="shared" si="14"/>
        <v>#DIV/0!</v>
      </c>
      <c r="P160" s="39" t="e">
        <f t="shared" si="15"/>
        <v>#DIV/0!</v>
      </c>
      <c r="Q160" s="11"/>
    </row>
    <row r="161" spans="2:17" x14ac:dyDescent="0.3">
      <c r="B161" s="30">
        <f>'Critérios de Seleção de Fornece'!B161</f>
        <v>156</v>
      </c>
      <c r="C161" s="30">
        <f>'Critérios de Seleção de Fornece'!C161</f>
        <v>0</v>
      </c>
      <c r="D161" s="30">
        <f>'Critérios de Seleção de Fornece'!H161</f>
        <v>0</v>
      </c>
      <c r="E161" s="30">
        <f>'Critérios de Seleção de Fornece'!I161</f>
        <v>0</v>
      </c>
      <c r="F161" s="30" t="e">
        <f>'Critérios de Seleção de Fornece'!L161</f>
        <v>#DIV/0!</v>
      </c>
      <c r="G161" s="30" t="e">
        <f>'Critérios de Seleção de Fornece'!O161</f>
        <v>#DIV/0!</v>
      </c>
      <c r="H161" s="30">
        <f>'Critérios de Seleção de Fornece'!Q161</f>
        <v>0</v>
      </c>
      <c r="I161" s="30" t="e">
        <f>'Critérios de Seleção de Fornece'!T161</f>
        <v>#DIV/0!</v>
      </c>
      <c r="J161" s="30" t="e">
        <f>'Critérios de Seleção de Fornece'!W161</f>
        <v>#DIV/0!</v>
      </c>
      <c r="K161" s="31" t="e">
        <f t="shared" si="12"/>
        <v>#DIV/0!</v>
      </c>
      <c r="L161" s="14"/>
      <c r="M161" s="14"/>
      <c r="N161" s="33">
        <f t="shared" si="13"/>
        <v>3</v>
      </c>
      <c r="O161" s="34" t="e">
        <f t="shared" si="14"/>
        <v>#DIV/0!</v>
      </c>
      <c r="P161" s="39" t="e">
        <f t="shared" si="15"/>
        <v>#DIV/0!</v>
      </c>
      <c r="Q161" s="11"/>
    </row>
    <row r="162" spans="2:17" x14ac:dyDescent="0.3">
      <c r="B162" s="30">
        <f>'Critérios de Seleção de Fornece'!B162</f>
        <v>157</v>
      </c>
      <c r="C162" s="30">
        <f>'Critérios de Seleção de Fornece'!C162</f>
        <v>0</v>
      </c>
      <c r="D162" s="30">
        <f>'Critérios de Seleção de Fornece'!H162</f>
        <v>0</v>
      </c>
      <c r="E162" s="30">
        <f>'Critérios de Seleção de Fornece'!I162</f>
        <v>0</v>
      </c>
      <c r="F162" s="30" t="e">
        <f>'Critérios de Seleção de Fornece'!L162</f>
        <v>#DIV/0!</v>
      </c>
      <c r="G162" s="30" t="e">
        <f>'Critérios de Seleção de Fornece'!O162</f>
        <v>#DIV/0!</v>
      </c>
      <c r="H162" s="30">
        <f>'Critérios de Seleção de Fornece'!Q162</f>
        <v>0</v>
      </c>
      <c r="I162" s="30" t="e">
        <f>'Critérios de Seleção de Fornece'!T162</f>
        <v>#DIV/0!</v>
      </c>
      <c r="J162" s="30" t="e">
        <f>'Critérios de Seleção de Fornece'!W162</f>
        <v>#DIV/0!</v>
      </c>
      <c r="K162" s="31" t="e">
        <f t="shared" si="12"/>
        <v>#DIV/0!</v>
      </c>
      <c r="L162" s="14"/>
      <c r="M162" s="14"/>
      <c r="N162" s="33">
        <f t="shared" si="13"/>
        <v>3</v>
      </c>
      <c r="O162" s="34" t="e">
        <f t="shared" si="14"/>
        <v>#DIV/0!</v>
      </c>
      <c r="P162" s="39" t="e">
        <f t="shared" si="15"/>
        <v>#DIV/0!</v>
      </c>
      <c r="Q162" s="11"/>
    </row>
    <row r="163" spans="2:17" x14ac:dyDescent="0.3">
      <c r="B163" s="30">
        <f>'Critérios de Seleção de Fornece'!B163</f>
        <v>158</v>
      </c>
      <c r="C163" s="30">
        <f>'Critérios de Seleção de Fornece'!C163</f>
        <v>0</v>
      </c>
      <c r="D163" s="30">
        <f>'Critérios de Seleção de Fornece'!H163</f>
        <v>0</v>
      </c>
      <c r="E163" s="30">
        <f>'Critérios de Seleção de Fornece'!I163</f>
        <v>0</v>
      </c>
      <c r="F163" s="30" t="e">
        <f>'Critérios de Seleção de Fornece'!L163</f>
        <v>#DIV/0!</v>
      </c>
      <c r="G163" s="30" t="e">
        <f>'Critérios de Seleção de Fornece'!O163</f>
        <v>#DIV/0!</v>
      </c>
      <c r="H163" s="30">
        <f>'Critérios de Seleção de Fornece'!Q163</f>
        <v>0</v>
      </c>
      <c r="I163" s="30" t="e">
        <f>'Critérios de Seleção de Fornece'!T163</f>
        <v>#DIV/0!</v>
      </c>
      <c r="J163" s="30" t="e">
        <f>'Critérios de Seleção de Fornece'!W163</f>
        <v>#DIV/0!</v>
      </c>
      <c r="K163" s="31" t="e">
        <f t="shared" si="12"/>
        <v>#DIV/0!</v>
      </c>
      <c r="L163" s="14"/>
      <c r="M163" s="14"/>
      <c r="N163" s="33">
        <f t="shared" si="13"/>
        <v>3</v>
      </c>
      <c r="O163" s="34" t="e">
        <f t="shared" si="14"/>
        <v>#DIV/0!</v>
      </c>
      <c r="P163" s="39" t="e">
        <f t="shared" si="15"/>
        <v>#DIV/0!</v>
      </c>
      <c r="Q163" s="11"/>
    </row>
    <row r="164" spans="2:17" x14ac:dyDescent="0.3">
      <c r="B164" s="30">
        <f>'Critérios de Seleção de Fornece'!B164</f>
        <v>159</v>
      </c>
      <c r="C164" s="30">
        <f>'Critérios de Seleção de Fornece'!C164</f>
        <v>0</v>
      </c>
      <c r="D164" s="30">
        <f>'Critérios de Seleção de Fornece'!H164</f>
        <v>0</v>
      </c>
      <c r="E164" s="30">
        <f>'Critérios de Seleção de Fornece'!I164</f>
        <v>0</v>
      </c>
      <c r="F164" s="30" t="e">
        <f>'Critérios de Seleção de Fornece'!L164</f>
        <v>#DIV/0!</v>
      </c>
      <c r="G164" s="30" t="e">
        <f>'Critérios de Seleção de Fornece'!O164</f>
        <v>#DIV/0!</v>
      </c>
      <c r="H164" s="30">
        <f>'Critérios de Seleção de Fornece'!Q164</f>
        <v>0</v>
      </c>
      <c r="I164" s="30" t="e">
        <f>'Critérios de Seleção de Fornece'!T164</f>
        <v>#DIV/0!</v>
      </c>
      <c r="J164" s="30" t="e">
        <f>'Critérios de Seleção de Fornece'!W164</f>
        <v>#DIV/0!</v>
      </c>
      <c r="K164" s="31" t="e">
        <f t="shared" si="12"/>
        <v>#DIV/0!</v>
      </c>
      <c r="L164" s="14"/>
      <c r="M164" s="14"/>
      <c r="N164" s="33">
        <f t="shared" si="13"/>
        <v>3</v>
      </c>
      <c r="O164" s="34" t="e">
        <f t="shared" si="14"/>
        <v>#DIV/0!</v>
      </c>
      <c r="P164" s="39" t="e">
        <f t="shared" si="15"/>
        <v>#DIV/0!</v>
      </c>
      <c r="Q164" s="11"/>
    </row>
    <row r="165" spans="2:17" x14ac:dyDescent="0.3">
      <c r="B165" s="30">
        <f>'Critérios de Seleção de Fornece'!B165</f>
        <v>160</v>
      </c>
      <c r="C165" s="30">
        <f>'Critérios de Seleção de Fornece'!C165</f>
        <v>0</v>
      </c>
      <c r="D165" s="30">
        <f>'Critérios de Seleção de Fornece'!H165</f>
        <v>0</v>
      </c>
      <c r="E165" s="30">
        <f>'Critérios de Seleção de Fornece'!I165</f>
        <v>0</v>
      </c>
      <c r="F165" s="30" t="e">
        <f>'Critérios de Seleção de Fornece'!L165</f>
        <v>#DIV/0!</v>
      </c>
      <c r="G165" s="30" t="e">
        <f>'Critérios de Seleção de Fornece'!O165</f>
        <v>#DIV/0!</v>
      </c>
      <c r="H165" s="30">
        <f>'Critérios de Seleção de Fornece'!Q165</f>
        <v>0</v>
      </c>
      <c r="I165" s="30" t="e">
        <f>'Critérios de Seleção de Fornece'!T165</f>
        <v>#DIV/0!</v>
      </c>
      <c r="J165" s="30" t="e">
        <f>'Critérios de Seleção de Fornece'!W165</f>
        <v>#DIV/0!</v>
      </c>
      <c r="K165" s="31" t="e">
        <f t="shared" si="12"/>
        <v>#DIV/0!</v>
      </c>
      <c r="L165" s="14"/>
      <c r="M165" s="14"/>
      <c r="N165" s="33">
        <f t="shared" si="13"/>
        <v>3</v>
      </c>
      <c r="O165" s="34" t="e">
        <f t="shared" si="14"/>
        <v>#DIV/0!</v>
      </c>
      <c r="P165" s="39" t="e">
        <f t="shared" si="15"/>
        <v>#DIV/0!</v>
      </c>
      <c r="Q165" s="11"/>
    </row>
    <row r="166" spans="2:17" x14ac:dyDescent="0.3">
      <c r="B166" s="30">
        <f>'Critérios de Seleção de Fornece'!B166</f>
        <v>161</v>
      </c>
      <c r="C166" s="30">
        <f>'Critérios de Seleção de Fornece'!C166</f>
        <v>0</v>
      </c>
      <c r="D166" s="30">
        <f>'Critérios de Seleção de Fornece'!H166</f>
        <v>0</v>
      </c>
      <c r="E166" s="30">
        <f>'Critérios de Seleção de Fornece'!I166</f>
        <v>0</v>
      </c>
      <c r="F166" s="30" t="e">
        <f>'Critérios de Seleção de Fornece'!L166</f>
        <v>#DIV/0!</v>
      </c>
      <c r="G166" s="30" t="e">
        <f>'Critérios de Seleção de Fornece'!O166</f>
        <v>#DIV/0!</v>
      </c>
      <c r="H166" s="30">
        <f>'Critérios de Seleção de Fornece'!Q166</f>
        <v>0</v>
      </c>
      <c r="I166" s="30" t="e">
        <f>'Critérios de Seleção de Fornece'!T166</f>
        <v>#DIV/0!</v>
      </c>
      <c r="J166" s="30" t="e">
        <f>'Critérios de Seleção de Fornece'!W166</f>
        <v>#DIV/0!</v>
      </c>
      <c r="K166" s="31" t="e">
        <f t="shared" si="12"/>
        <v>#DIV/0!</v>
      </c>
      <c r="L166" s="14"/>
      <c r="M166" s="14"/>
      <c r="N166" s="33">
        <f t="shared" si="13"/>
        <v>3</v>
      </c>
      <c r="O166" s="34" t="e">
        <f t="shared" si="14"/>
        <v>#DIV/0!</v>
      </c>
      <c r="P166" s="39" t="e">
        <f t="shared" si="15"/>
        <v>#DIV/0!</v>
      </c>
      <c r="Q166" s="11"/>
    </row>
    <row r="167" spans="2:17" x14ac:dyDescent="0.3">
      <c r="B167" s="30">
        <f>'Critérios de Seleção de Fornece'!B167</f>
        <v>162</v>
      </c>
      <c r="C167" s="30">
        <f>'Critérios de Seleção de Fornece'!C167</f>
        <v>0</v>
      </c>
      <c r="D167" s="30">
        <f>'Critérios de Seleção de Fornece'!H167</f>
        <v>0</v>
      </c>
      <c r="E167" s="30">
        <f>'Critérios de Seleção de Fornece'!I167</f>
        <v>0</v>
      </c>
      <c r="F167" s="30" t="e">
        <f>'Critérios de Seleção de Fornece'!L167</f>
        <v>#DIV/0!</v>
      </c>
      <c r="G167" s="30" t="e">
        <f>'Critérios de Seleção de Fornece'!O167</f>
        <v>#DIV/0!</v>
      </c>
      <c r="H167" s="30">
        <f>'Critérios de Seleção de Fornece'!Q167</f>
        <v>0</v>
      </c>
      <c r="I167" s="30" t="e">
        <f>'Critérios de Seleção de Fornece'!T167</f>
        <v>#DIV/0!</v>
      </c>
      <c r="J167" s="30" t="e">
        <f>'Critérios de Seleção de Fornece'!W167</f>
        <v>#DIV/0!</v>
      </c>
      <c r="K167" s="31" t="e">
        <f t="shared" si="12"/>
        <v>#DIV/0!</v>
      </c>
      <c r="L167" s="14"/>
      <c r="M167" s="14"/>
      <c r="N167" s="33">
        <f t="shared" si="13"/>
        <v>3</v>
      </c>
      <c r="O167" s="34" t="e">
        <f t="shared" si="14"/>
        <v>#DIV/0!</v>
      </c>
      <c r="P167" s="39" t="e">
        <f t="shared" si="15"/>
        <v>#DIV/0!</v>
      </c>
      <c r="Q167" s="11"/>
    </row>
    <row r="168" spans="2:17" x14ac:dyDescent="0.3">
      <c r="B168" s="30">
        <f>'Critérios de Seleção de Fornece'!B168</f>
        <v>163</v>
      </c>
      <c r="C168" s="30">
        <f>'Critérios de Seleção de Fornece'!C168</f>
        <v>0</v>
      </c>
      <c r="D168" s="30">
        <f>'Critérios de Seleção de Fornece'!H168</f>
        <v>0</v>
      </c>
      <c r="E168" s="30">
        <f>'Critérios de Seleção de Fornece'!I168</f>
        <v>0</v>
      </c>
      <c r="F168" s="30" t="e">
        <f>'Critérios de Seleção de Fornece'!L168</f>
        <v>#DIV/0!</v>
      </c>
      <c r="G168" s="30" t="e">
        <f>'Critérios de Seleção de Fornece'!O168</f>
        <v>#DIV/0!</v>
      </c>
      <c r="H168" s="30">
        <f>'Critérios de Seleção de Fornece'!Q168</f>
        <v>0</v>
      </c>
      <c r="I168" s="30" t="e">
        <f>'Critérios de Seleção de Fornece'!T168</f>
        <v>#DIV/0!</v>
      </c>
      <c r="J168" s="30" t="e">
        <f>'Critérios de Seleção de Fornece'!W168</f>
        <v>#DIV/0!</v>
      </c>
      <c r="K168" s="31" t="e">
        <f t="shared" si="12"/>
        <v>#DIV/0!</v>
      </c>
      <c r="L168" s="14"/>
      <c r="M168" s="14"/>
      <c r="N168" s="33">
        <f t="shared" si="13"/>
        <v>3</v>
      </c>
      <c r="O168" s="34" t="e">
        <f t="shared" si="14"/>
        <v>#DIV/0!</v>
      </c>
      <c r="P168" s="39" t="e">
        <f t="shared" si="15"/>
        <v>#DIV/0!</v>
      </c>
      <c r="Q168" s="11"/>
    </row>
    <row r="169" spans="2:17" x14ac:dyDescent="0.3">
      <c r="B169" s="30">
        <f>'Critérios de Seleção de Fornece'!B169</f>
        <v>164</v>
      </c>
      <c r="C169" s="30">
        <f>'Critérios de Seleção de Fornece'!C169</f>
        <v>0</v>
      </c>
      <c r="D169" s="30">
        <f>'Critérios de Seleção de Fornece'!H169</f>
        <v>0</v>
      </c>
      <c r="E169" s="30">
        <f>'Critérios de Seleção de Fornece'!I169</f>
        <v>0</v>
      </c>
      <c r="F169" s="30" t="e">
        <f>'Critérios de Seleção de Fornece'!L169</f>
        <v>#DIV/0!</v>
      </c>
      <c r="G169" s="30" t="e">
        <f>'Critérios de Seleção de Fornece'!O169</f>
        <v>#DIV/0!</v>
      </c>
      <c r="H169" s="30">
        <f>'Critérios de Seleção de Fornece'!Q169</f>
        <v>0</v>
      </c>
      <c r="I169" s="30" t="e">
        <f>'Critérios de Seleção de Fornece'!T169</f>
        <v>#DIV/0!</v>
      </c>
      <c r="J169" s="30" t="e">
        <f>'Critérios de Seleção de Fornece'!W169</f>
        <v>#DIV/0!</v>
      </c>
      <c r="K169" s="31" t="e">
        <f t="shared" si="12"/>
        <v>#DIV/0!</v>
      </c>
      <c r="L169" s="14"/>
      <c r="M169" s="14"/>
      <c r="N169" s="33">
        <f t="shared" si="13"/>
        <v>3</v>
      </c>
      <c r="O169" s="34" t="e">
        <f t="shared" si="14"/>
        <v>#DIV/0!</v>
      </c>
      <c r="P169" s="39" t="e">
        <f t="shared" si="15"/>
        <v>#DIV/0!</v>
      </c>
      <c r="Q169" s="11"/>
    </row>
    <row r="170" spans="2:17" x14ac:dyDescent="0.3">
      <c r="B170" s="30">
        <f>'Critérios de Seleção de Fornece'!B170</f>
        <v>165</v>
      </c>
      <c r="C170" s="30">
        <f>'Critérios de Seleção de Fornece'!C170</f>
        <v>0</v>
      </c>
      <c r="D170" s="30">
        <f>'Critérios de Seleção de Fornece'!H170</f>
        <v>0</v>
      </c>
      <c r="E170" s="30">
        <f>'Critérios de Seleção de Fornece'!I170</f>
        <v>0</v>
      </c>
      <c r="F170" s="30" t="e">
        <f>'Critérios de Seleção de Fornece'!L170</f>
        <v>#DIV/0!</v>
      </c>
      <c r="G170" s="30" t="e">
        <f>'Critérios de Seleção de Fornece'!O170</f>
        <v>#DIV/0!</v>
      </c>
      <c r="H170" s="30">
        <f>'Critérios de Seleção de Fornece'!Q170</f>
        <v>0</v>
      </c>
      <c r="I170" s="30" t="e">
        <f>'Critérios de Seleção de Fornece'!T170</f>
        <v>#DIV/0!</v>
      </c>
      <c r="J170" s="30" t="e">
        <f>'Critérios de Seleção de Fornece'!W170</f>
        <v>#DIV/0!</v>
      </c>
      <c r="K170" s="31" t="e">
        <f t="shared" si="12"/>
        <v>#DIV/0!</v>
      </c>
      <c r="L170" s="14"/>
      <c r="M170" s="14"/>
      <c r="N170" s="33">
        <f t="shared" si="13"/>
        <v>3</v>
      </c>
      <c r="O170" s="34" t="e">
        <f t="shared" si="14"/>
        <v>#DIV/0!</v>
      </c>
      <c r="P170" s="39" t="e">
        <f t="shared" si="15"/>
        <v>#DIV/0!</v>
      </c>
      <c r="Q170" s="11"/>
    </row>
    <row r="171" spans="2:17" x14ac:dyDescent="0.3">
      <c r="B171" s="30">
        <f>'Critérios de Seleção de Fornece'!B171</f>
        <v>166</v>
      </c>
      <c r="C171" s="30">
        <f>'Critérios de Seleção de Fornece'!C171</f>
        <v>0</v>
      </c>
      <c r="D171" s="30">
        <f>'Critérios de Seleção de Fornece'!H171</f>
        <v>0</v>
      </c>
      <c r="E171" s="30">
        <f>'Critérios de Seleção de Fornece'!I171</f>
        <v>0</v>
      </c>
      <c r="F171" s="30" t="e">
        <f>'Critérios de Seleção de Fornece'!L171</f>
        <v>#DIV/0!</v>
      </c>
      <c r="G171" s="30" t="e">
        <f>'Critérios de Seleção de Fornece'!O171</f>
        <v>#DIV/0!</v>
      </c>
      <c r="H171" s="30">
        <f>'Critérios de Seleção de Fornece'!Q171</f>
        <v>0</v>
      </c>
      <c r="I171" s="30" t="e">
        <f>'Critérios de Seleção de Fornece'!T171</f>
        <v>#DIV/0!</v>
      </c>
      <c r="J171" s="30" t="e">
        <f>'Critérios de Seleção de Fornece'!W171</f>
        <v>#DIV/0!</v>
      </c>
      <c r="K171" s="31" t="e">
        <f t="shared" ref="K171:K234" si="16">AVERAGE(D171:J171)</f>
        <v>#DIV/0!</v>
      </c>
      <c r="L171" s="14"/>
      <c r="M171" s="14"/>
      <c r="N171" s="33">
        <f t="shared" ref="N171:N234" si="17">IF(M171&gt;L171,1,IF(M171=L171,3,5))</f>
        <v>3</v>
      </c>
      <c r="O171" s="34" t="e">
        <f t="shared" ref="O171:O234" si="18">((5-K171)/4) + ((N171-3)/20)</f>
        <v>#DIV/0!</v>
      </c>
      <c r="P171" s="39" t="e">
        <f t="shared" ref="P171:P234" si="19">IF(O171&gt;=0.7,$S$10,IF(O171&gt;=0.5,$S$11,$S$12))</f>
        <v>#DIV/0!</v>
      </c>
      <c r="Q171" s="11"/>
    </row>
    <row r="172" spans="2:17" x14ac:dyDescent="0.3">
      <c r="B172" s="30">
        <f>'Critérios de Seleção de Fornece'!B172</f>
        <v>167</v>
      </c>
      <c r="C172" s="30">
        <f>'Critérios de Seleção de Fornece'!C172</f>
        <v>0</v>
      </c>
      <c r="D172" s="30">
        <f>'Critérios de Seleção de Fornece'!H172</f>
        <v>0</v>
      </c>
      <c r="E172" s="30">
        <f>'Critérios de Seleção de Fornece'!I172</f>
        <v>0</v>
      </c>
      <c r="F172" s="30" t="e">
        <f>'Critérios de Seleção de Fornece'!L172</f>
        <v>#DIV/0!</v>
      </c>
      <c r="G172" s="30" t="e">
        <f>'Critérios de Seleção de Fornece'!O172</f>
        <v>#DIV/0!</v>
      </c>
      <c r="H172" s="30">
        <f>'Critérios de Seleção de Fornece'!Q172</f>
        <v>0</v>
      </c>
      <c r="I172" s="30" t="e">
        <f>'Critérios de Seleção de Fornece'!T172</f>
        <v>#DIV/0!</v>
      </c>
      <c r="J172" s="30" t="e">
        <f>'Critérios de Seleção de Fornece'!W172</f>
        <v>#DIV/0!</v>
      </c>
      <c r="K172" s="31" t="e">
        <f t="shared" si="16"/>
        <v>#DIV/0!</v>
      </c>
      <c r="L172" s="14"/>
      <c r="M172" s="14"/>
      <c r="N172" s="33">
        <f t="shared" si="17"/>
        <v>3</v>
      </c>
      <c r="O172" s="34" t="e">
        <f t="shared" si="18"/>
        <v>#DIV/0!</v>
      </c>
      <c r="P172" s="39" t="e">
        <f t="shared" si="19"/>
        <v>#DIV/0!</v>
      </c>
      <c r="Q172" s="11"/>
    </row>
    <row r="173" spans="2:17" x14ac:dyDescent="0.3">
      <c r="B173" s="30">
        <f>'Critérios de Seleção de Fornece'!B173</f>
        <v>168</v>
      </c>
      <c r="C173" s="30">
        <f>'Critérios de Seleção de Fornece'!C173</f>
        <v>0</v>
      </c>
      <c r="D173" s="30">
        <f>'Critérios de Seleção de Fornece'!H173</f>
        <v>0</v>
      </c>
      <c r="E173" s="30">
        <f>'Critérios de Seleção de Fornece'!I173</f>
        <v>0</v>
      </c>
      <c r="F173" s="30" t="e">
        <f>'Critérios de Seleção de Fornece'!L173</f>
        <v>#DIV/0!</v>
      </c>
      <c r="G173" s="30" t="e">
        <f>'Critérios de Seleção de Fornece'!O173</f>
        <v>#DIV/0!</v>
      </c>
      <c r="H173" s="30">
        <f>'Critérios de Seleção de Fornece'!Q173</f>
        <v>0</v>
      </c>
      <c r="I173" s="30" t="e">
        <f>'Critérios de Seleção de Fornece'!T173</f>
        <v>#DIV/0!</v>
      </c>
      <c r="J173" s="30" t="e">
        <f>'Critérios de Seleção de Fornece'!W173</f>
        <v>#DIV/0!</v>
      </c>
      <c r="K173" s="31" t="e">
        <f t="shared" si="16"/>
        <v>#DIV/0!</v>
      </c>
      <c r="L173" s="14"/>
      <c r="M173" s="14"/>
      <c r="N173" s="33">
        <f t="shared" si="17"/>
        <v>3</v>
      </c>
      <c r="O173" s="34" t="e">
        <f t="shared" si="18"/>
        <v>#DIV/0!</v>
      </c>
      <c r="P173" s="39" t="e">
        <f t="shared" si="19"/>
        <v>#DIV/0!</v>
      </c>
      <c r="Q173" s="11"/>
    </row>
    <row r="174" spans="2:17" x14ac:dyDescent="0.3">
      <c r="B174" s="30">
        <f>'Critérios de Seleção de Fornece'!B174</f>
        <v>169</v>
      </c>
      <c r="C174" s="30">
        <f>'Critérios de Seleção de Fornece'!C174</f>
        <v>0</v>
      </c>
      <c r="D174" s="30">
        <f>'Critérios de Seleção de Fornece'!H174</f>
        <v>0</v>
      </c>
      <c r="E174" s="30">
        <f>'Critérios de Seleção de Fornece'!I174</f>
        <v>0</v>
      </c>
      <c r="F174" s="30" t="e">
        <f>'Critérios de Seleção de Fornece'!L174</f>
        <v>#DIV/0!</v>
      </c>
      <c r="G174" s="30" t="e">
        <f>'Critérios de Seleção de Fornece'!O174</f>
        <v>#DIV/0!</v>
      </c>
      <c r="H174" s="30">
        <f>'Critérios de Seleção de Fornece'!Q174</f>
        <v>0</v>
      </c>
      <c r="I174" s="30" t="e">
        <f>'Critérios de Seleção de Fornece'!T174</f>
        <v>#DIV/0!</v>
      </c>
      <c r="J174" s="30" t="e">
        <f>'Critérios de Seleção de Fornece'!W174</f>
        <v>#DIV/0!</v>
      </c>
      <c r="K174" s="31" t="e">
        <f t="shared" si="16"/>
        <v>#DIV/0!</v>
      </c>
      <c r="L174" s="14"/>
      <c r="M174" s="14"/>
      <c r="N174" s="33">
        <f t="shared" si="17"/>
        <v>3</v>
      </c>
      <c r="O174" s="34" t="e">
        <f t="shared" si="18"/>
        <v>#DIV/0!</v>
      </c>
      <c r="P174" s="39" t="e">
        <f t="shared" si="19"/>
        <v>#DIV/0!</v>
      </c>
      <c r="Q174" s="11"/>
    </row>
    <row r="175" spans="2:17" x14ac:dyDescent="0.3">
      <c r="B175" s="30">
        <f>'Critérios de Seleção de Fornece'!B175</f>
        <v>170</v>
      </c>
      <c r="C175" s="30">
        <f>'Critérios de Seleção de Fornece'!C175</f>
        <v>0</v>
      </c>
      <c r="D175" s="30">
        <f>'Critérios de Seleção de Fornece'!H175</f>
        <v>0</v>
      </c>
      <c r="E175" s="30">
        <f>'Critérios de Seleção de Fornece'!I175</f>
        <v>0</v>
      </c>
      <c r="F175" s="30" t="e">
        <f>'Critérios de Seleção de Fornece'!L175</f>
        <v>#DIV/0!</v>
      </c>
      <c r="G175" s="30" t="e">
        <f>'Critérios de Seleção de Fornece'!O175</f>
        <v>#DIV/0!</v>
      </c>
      <c r="H175" s="30">
        <f>'Critérios de Seleção de Fornece'!Q175</f>
        <v>0</v>
      </c>
      <c r="I175" s="30" t="e">
        <f>'Critérios de Seleção de Fornece'!T175</f>
        <v>#DIV/0!</v>
      </c>
      <c r="J175" s="30" t="e">
        <f>'Critérios de Seleção de Fornece'!W175</f>
        <v>#DIV/0!</v>
      </c>
      <c r="K175" s="31" t="e">
        <f t="shared" si="16"/>
        <v>#DIV/0!</v>
      </c>
      <c r="L175" s="14"/>
      <c r="M175" s="14"/>
      <c r="N175" s="33">
        <f t="shared" si="17"/>
        <v>3</v>
      </c>
      <c r="O175" s="34" t="e">
        <f t="shared" si="18"/>
        <v>#DIV/0!</v>
      </c>
      <c r="P175" s="39" t="e">
        <f t="shared" si="19"/>
        <v>#DIV/0!</v>
      </c>
      <c r="Q175" s="11"/>
    </row>
    <row r="176" spans="2:17" x14ac:dyDescent="0.3">
      <c r="B176" s="30">
        <f>'Critérios de Seleção de Fornece'!B176</f>
        <v>171</v>
      </c>
      <c r="C176" s="30">
        <f>'Critérios de Seleção de Fornece'!C176</f>
        <v>0</v>
      </c>
      <c r="D176" s="30">
        <f>'Critérios de Seleção de Fornece'!H176</f>
        <v>0</v>
      </c>
      <c r="E176" s="30">
        <f>'Critérios de Seleção de Fornece'!I176</f>
        <v>0</v>
      </c>
      <c r="F176" s="30" t="e">
        <f>'Critérios de Seleção de Fornece'!L176</f>
        <v>#DIV/0!</v>
      </c>
      <c r="G176" s="30" t="e">
        <f>'Critérios de Seleção de Fornece'!O176</f>
        <v>#DIV/0!</v>
      </c>
      <c r="H176" s="30">
        <f>'Critérios de Seleção de Fornece'!Q176</f>
        <v>0</v>
      </c>
      <c r="I176" s="30" t="e">
        <f>'Critérios de Seleção de Fornece'!T176</f>
        <v>#DIV/0!</v>
      </c>
      <c r="J176" s="30" t="e">
        <f>'Critérios de Seleção de Fornece'!W176</f>
        <v>#DIV/0!</v>
      </c>
      <c r="K176" s="31" t="e">
        <f t="shared" si="16"/>
        <v>#DIV/0!</v>
      </c>
      <c r="L176" s="14"/>
      <c r="M176" s="14"/>
      <c r="N176" s="33">
        <f t="shared" si="17"/>
        <v>3</v>
      </c>
      <c r="O176" s="34" t="e">
        <f t="shared" si="18"/>
        <v>#DIV/0!</v>
      </c>
      <c r="P176" s="39" t="e">
        <f t="shared" si="19"/>
        <v>#DIV/0!</v>
      </c>
      <c r="Q176" s="11"/>
    </row>
    <row r="177" spans="2:17" x14ac:dyDescent="0.3">
      <c r="B177" s="30">
        <f>'Critérios de Seleção de Fornece'!B177</f>
        <v>172</v>
      </c>
      <c r="C177" s="30">
        <f>'Critérios de Seleção de Fornece'!C177</f>
        <v>0</v>
      </c>
      <c r="D177" s="30">
        <f>'Critérios de Seleção de Fornece'!H177</f>
        <v>0</v>
      </c>
      <c r="E177" s="30">
        <f>'Critérios de Seleção de Fornece'!I177</f>
        <v>0</v>
      </c>
      <c r="F177" s="30" t="e">
        <f>'Critérios de Seleção de Fornece'!L177</f>
        <v>#DIV/0!</v>
      </c>
      <c r="G177" s="30" t="e">
        <f>'Critérios de Seleção de Fornece'!O177</f>
        <v>#DIV/0!</v>
      </c>
      <c r="H177" s="30">
        <f>'Critérios de Seleção de Fornece'!Q177</f>
        <v>0</v>
      </c>
      <c r="I177" s="30" t="e">
        <f>'Critérios de Seleção de Fornece'!T177</f>
        <v>#DIV/0!</v>
      </c>
      <c r="J177" s="30" t="e">
        <f>'Critérios de Seleção de Fornece'!W177</f>
        <v>#DIV/0!</v>
      </c>
      <c r="K177" s="31" t="e">
        <f t="shared" si="16"/>
        <v>#DIV/0!</v>
      </c>
      <c r="L177" s="14"/>
      <c r="M177" s="14"/>
      <c r="N177" s="33">
        <f t="shared" si="17"/>
        <v>3</v>
      </c>
      <c r="O177" s="34" t="e">
        <f t="shared" si="18"/>
        <v>#DIV/0!</v>
      </c>
      <c r="P177" s="39" t="e">
        <f t="shared" si="19"/>
        <v>#DIV/0!</v>
      </c>
      <c r="Q177" s="11"/>
    </row>
    <row r="178" spans="2:17" x14ac:dyDescent="0.3">
      <c r="B178" s="30">
        <f>'Critérios de Seleção de Fornece'!B178</f>
        <v>173</v>
      </c>
      <c r="C178" s="30">
        <f>'Critérios de Seleção de Fornece'!C178</f>
        <v>0</v>
      </c>
      <c r="D178" s="30">
        <f>'Critérios de Seleção de Fornece'!H178</f>
        <v>0</v>
      </c>
      <c r="E178" s="30">
        <f>'Critérios de Seleção de Fornece'!I178</f>
        <v>0</v>
      </c>
      <c r="F178" s="30" t="e">
        <f>'Critérios de Seleção de Fornece'!L178</f>
        <v>#DIV/0!</v>
      </c>
      <c r="G178" s="30" t="e">
        <f>'Critérios de Seleção de Fornece'!O178</f>
        <v>#DIV/0!</v>
      </c>
      <c r="H178" s="30">
        <f>'Critérios de Seleção de Fornece'!Q178</f>
        <v>0</v>
      </c>
      <c r="I178" s="30" t="e">
        <f>'Critérios de Seleção de Fornece'!T178</f>
        <v>#DIV/0!</v>
      </c>
      <c r="J178" s="30" t="e">
        <f>'Critérios de Seleção de Fornece'!W178</f>
        <v>#DIV/0!</v>
      </c>
      <c r="K178" s="31" t="e">
        <f t="shared" si="16"/>
        <v>#DIV/0!</v>
      </c>
      <c r="L178" s="14"/>
      <c r="M178" s="14"/>
      <c r="N178" s="33">
        <f t="shared" si="17"/>
        <v>3</v>
      </c>
      <c r="O178" s="34" t="e">
        <f t="shared" si="18"/>
        <v>#DIV/0!</v>
      </c>
      <c r="P178" s="39" t="e">
        <f t="shared" si="19"/>
        <v>#DIV/0!</v>
      </c>
      <c r="Q178" s="11"/>
    </row>
    <row r="179" spans="2:17" x14ac:dyDescent="0.3">
      <c r="B179" s="30">
        <f>'Critérios de Seleção de Fornece'!B179</f>
        <v>174</v>
      </c>
      <c r="C179" s="30">
        <f>'Critérios de Seleção de Fornece'!C179</f>
        <v>0</v>
      </c>
      <c r="D179" s="30">
        <f>'Critérios de Seleção de Fornece'!H179</f>
        <v>0</v>
      </c>
      <c r="E179" s="30">
        <f>'Critérios de Seleção de Fornece'!I179</f>
        <v>0</v>
      </c>
      <c r="F179" s="30" t="e">
        <f>'Critérios de Seleção de Fornece'!L179</f>
        <v>#DIV/0!</v>
      </c>
      <c r="G179" s="30" t="e">
        <f>'Critérios de Seleção de Fornece'!O179</f>
        <v>#DIV/0!</v>
      </c>
      <c r="H179" s="30">
        <f>'Critérios de Seleção de Fornece'!Q179</f>
        <v>0</v>
      </c>
      <c r="I179" s="30" t="e">
        <f>'Critérios de Seleção de Fornece'!T179</f>
        <v>#DIV/0!</v>
      </c>
      <c r="J179" s="30" t="e">
        <f>'Critérios de Seleção de Fornece'!W179</f>
        <v>#DIV/0!</v>
      </c>
      <c r="K179" s="31" t="e">
        <f t="shared" si="16"/>
        <v>#DIV/0!</v>
      </c>
      <c r="L179" s="14"/>
      <c r="M179" s="14"/>
      <c r="N179" s="33">
        <f t="shared" si="17"/>
        <v>3</v>
      </c>
      <c r="O179" s="34" t="e">
        <f t="shared" si="18"/>
        <v>#DIV/0!</v>
      </c>
      <c r="P179" s="39" t="e">
        <f t="shared" si="19"/>
        <v>#DIV/0!</v>
      </c>
      <c r="Q179" s="11"/>
    </row>
    <row r="180" spans="2:17" x14ac:dyDescent="0.3">
      <c r="B180" s="30">
        <f>'Critérios de Seleção de Fornece'!B180</f>
        <v>175</v>
      </c>
      <c r="C180" s="30">
        <f>'Critérios de Seleção de Fornece'!C180</f>
        <v>0</v>
      </c>
      <c r="D180" s="30">
        <f>'Critérios de Seleção de Fornece'!H180</f>
        <v>0</v>
      </c>
      <c r="E180" s="30">
        <f>'Critérios de Seleção de Fornece'!I180</f>
        <v>0</v>
      </c>
      <c r="F180" s="30" t="e">
        <f>'Critérios de Seleção de Fornece'!L180</f>
        <v>#DIV/0!</v>
      </c>
      <c r="G180" s="30" t="e">
        <f>'Critérios de Seleção de Fornece'!O180</f>
        <v>#DIV/0!</v>
      </c>
      <c r="H180" s="30">
        <f>'Critérios de Seleção de Fornece'!Q180</f>
        <v>0</v>
      </c>
      <c r="I180" s="30" t="e">
        <f>'Critérios de Seleção de Fornece'!T180</f>
        <v>#DIV/0!</v>
      </c>
      <c r="J180" s="30" t="e">
        <f>'Critérios de Seleção de Fornece'!W180</f>
        <v>#DIV/0!</v>
      </c>
      <c r="K180" s="31" t="e">
        <f t="shared" si="16"/>
        <v>#DIV/0!</v>
      </c>
      <c r="L180" s="14"/>
      <c r="M180" s="14"/>
      <c r="N180" s="33">
        <f t="shared" si="17"/>
        <v>3</v>
      </c>
      <c r="O180" s="34" t="e">
        <f t="shared" si="18"/>
        <v>#DIV/0!</v>
      </c>
      <c r="P180" s="39" t="e">
        <f t="shared" si="19"/>
        <v>#DIV/0!</v>
      </c>
      <c r="Q180" s="11"/>
    </row>
    <row r="181" spans="2:17" x14ac:dyDescent="0.3">
      <c r="B181" s="30">
        <f>'Critérios de Seleção de Fornece'!B181</f>
        <v>176</v>
      </c>
      <c r="C181" s="30">
        <f>'Critérios de Seleção de Fornece'!C181</f>
        <v>0</v>
      </c>
      <c r="D181" s="30">
        <f>'Critérios de Seleção de Fornece'!H181</f>
        <v>0</v>
      </c>
      <c r="E181" s="30">
        <f>'Critérios de Seleção de Fornece'!I181</f>
        <v>0</v>
      </c>
      <c r="F181" s="30" t="e">
        <f>'Critérios de Seleção de Fornece'!L181</f>
        <v>#DIV/0!</v>
      </c>
      <c r="G181" s="30" t="e">
        <f>'Critérios de Seleção de Fornece'!O181</f>
        <v>#DIV/0!</v>
      </c>
      <c r="H181" s="30">
        <f>'Critérios de Seleção de Fornece'!Q181</f>
        <v>0</v>
      </c>
      <c r="I181" s="30" t="e">
        <f>'Critérios de Seleção de Fornece'!T181</f>
        <v>#DIV/0!</v>
      </c>
      <c r="J181" s="30" t="e">
        <f>'Critérios de Seleção de Fornece'!W181</f>
        <v>#DIV/0!</v>
      </c>
      <c r="K181" s="31" t="e">
        <f t="shared" si="16"/>
        <v>#DIV/0!</v>
      </c>
      <c r="L181" s="14"/>
      <c r="M181" s="14"/>
      <c r="N181" s="33">
        <f t="shared" si="17"/>
        <v>3</v>
      </c>
      <c r="O181" s="34" t="e">
        <f t="shared" si="18"/>
        <v>#DIV/0!</v>
      </c>
      <c r="P181" s="39" t="e">
        <f t="shared" si="19"/>
        <v>#DIV/0!</v>
      </c>
      <c r="Q181" s="11"/>
    </row>
    <row r="182" spans="2:17" x14ac:dyDescent="0.3">
      <c r="B182" s="30">
        <f>'Critérios de Seleção de Fornece'!B182</f>
        <v>177</v>
      </c>
      <c r="C182" s="30">
        <f>'Critérios de Seleção de Fornece'!C182</f>
        <v>0</v>
      </c>
      <c r="D182" s="30">
        <f>'Critérios de Seleção de Fornece'!H182</f>
        <v>0</v>
      </c>
      <c r="E182" s="30">
        <f>'Critérios de Seleção de Fornece'!I182</f>
        <v>0</v>
      </c>
      <c r="F182" s="30" t="e">
        <f>'Critérios de Seleção de Fornece'!L182</f>
        <v>#DIV/0!</v>
      </c>
      <c r="G182" s="30" t="e">
        <f>'Critérios de Seleção de Fornece'!O182</f>
        <v>#DIV/0!</v>
      </c>
      <c r="H182" s="30">
        <f>'Critérios de Seleção de Fornece'!Q182</f>
        <v>0</v>
      </c>
      <c r="I182" s="30" t="e">
        <f>'Critérios de Seleção de Fornece'!T182</f>
        <v>#DIV/0!</v>
      </c>
      <c r="J182" s="30" t="e">
        <f>'Critérios de Seleção de Fornece'!W182</f>
        <v>#DIV/0!</v>
      </c>
      <c r="K182" s="31" t="e">
        <f t="shared" si="16"/>
        <v>#DIV/0!</v>
      </c>
      <c r="L182" s="14"/>
      <c r="M182" s="14"/>
      <c r="N182" s="33">
        <f t="shared" si="17"/>
        <v>3</v>
      </c>
      <c r="O182" s="34" t="e">
        <f t="shared" si="18"/>
        <v>#DIV/0!</v>
      </c>
      <c r="P182" s="39" t="e">
        <f t="shared" si="19"/>
        <v>#DIV/0!</v>
      </c>
      <c r="Q182" s="11"/>
    </row>
    <row r="183" spans="2:17" x14ac:dyDescent="0.3">
      <c r="B183" s="30">
        <f>'Critérios de Seleção de Fornece'!B183</f>
        <v>178</v>
      </c>
      <c r="C183" s="30">
        <f>'Critérios de Seleção de Fornece'!C183</f>
        <v>0</v>
      </c>
      <c r="D183" s="30">
        <f>'Critérios de Seleção de Fornece'!H183</f>
        <v>0</v>
      </c>
      <c r="E183" s="30">
        <f>'Critérios de Seleção de Fornece'!I183</f>
        <v>0</v>
      </c>
      <c r="F183" s="30" t="e">
        <f>'Critérios de Seleção de Fornece'!L183</f>
        <v>#DIV/0!</v>
      </c>
      <c r="G183" s="30" t="e">
        <f>'Critérios de Seleção de Fornece'!O183</f>
        <v>#DIV/0!</v>
      </c>
      <c r="H183" s="30">
        <f>'Critérios de Seleção de Fornece'!Q183</f>
        <v>0</v>
      </c>
      <c r="I183" s="30" t="e">
        <f>'Critérios de Seleção de Fornece'!T183</f>
        <v>#DIV/0!</v>
      </c>
      <c r="J183" s="30" t="e">
        <f>'Critérios de Seleção de Fornece'!W183</f>
        <v>#DIV/0!</v>
      </c>
      <c r="K183" s="31" t="e">
        <f t="shared" si="16"/>
        <v>#DIV/0!</v>
      </c>
      <c r="L183" s="14"/>
      <c r="M183" s="14"/>
      <c r="N183" s="33">
        <f t="shared" si="17"/>
        <v>3</v>
      </c>
      <c r="O183" s="34" t="e">
        <f t="shared" si="18"/>
        <v>#DIV/0!</v>
      </c>
      <c r="P183" s="39" t="e">
        <f t="shared" si="19"/>
        <v>#DIV/0!</v>
      </c>
      <c r="Q183" s="11"/>
    </row>
    <row r="184" spans="2:17" x14ac:dyDescent="0.3">
      <c r="B184" s="30">
        <f>'Critérios de Seleção de Fornece'!B184</f>
        <v>179</v>
      </c>
      <c r="C184" s="30">
        <f>'Critérios de Seleção de Fornece'!C184</f>
        <v>0</v>
      </c>
      <c r="D184" s="30">
        <f>'Critérios de Seleção de Fornece'!H184</f>
        <v>0</v>
      </c>
      <c r="E184" s="30">
        <f>'Critérios de Seleção de Fornece'!I184</f>
        <v>0</v>
      </c>
      <c r="F184" s="30" t="e">
        <f>'Critérios de Seleção de Fornece'!L184</f>
        <v>#DIV/0!</v>
      </c>
      <c r="G184" s="30" t="e">
        <f>'Critérios de Seleção de Fornece'!O184</f>
        <v>#DIV/0!</v>
      </c>
      <c r="H184" s="30">
        <f>'Critérios de Seleção de Fornece'!Q184</f>
        <v>0</v>
      </c>
      <c r="I184" s="30" t="e">
        <f>'Critérios de Seleção de Fornece'!T184</f>
        <v>#DIV/0!</v>
      </c>
      <c r="J184" s="30" t="e">
        <f>'Critérios de Seleção de Fornece'!W184</f>
        <v>#DIV/0!</v>
      </c>
      <c r="K184" s="31" t="e">
        <f t="shared" si="16"/>
        <v>#DIV/0!</v>
      </c>
      <c r="L184" s="14"/>
      <c r="M184" s="14"/>
      <c r="N184" s="33">
        <f t="shared" si="17"/>
        <v>3</v>
      </c>
      <c r="O184" s="34" t="e">
        <f t="shared" si="18"/>
        <v>#DIV/0!</v>
      </c>
      <c r="P184" s="39" t="e">
        <f t="shared" si="19"/>
        <v>#DIV/0!</v>
      </c>
      <c r="Q184" s="11"/>
    </row>
    <row r="185" spans="2:17" x14ac:dyDescent="0.3">
      <c r="B185" s="30">
        <f>'Critérios de Seleção de Fornece'!B185</f>
        <v>180</v>
      </c>
      <c r="C185" s="30">
        <f>'Critérios de Seleção de Fornece'!C185</f>
        <v>0</v>
      </c>
      <c r="D185" s="30">
        <f>'Critérios de Seleção de Fornece'!H185</f>
        <v>0</v>
      </c>
      <c r="E185" s="30">
        <f>'Critérios de Seleção de Fornece'!I185</f>
        <v>0</v>
      </c>
      <c r="F185" s="30" t="e">
        <f>'Critérios de Seleção de Fornece'!L185</f>
        <v>#DIV/0!</v>
      </c>
      <c r="G185" s="30" t="e">
        <f>'Critérios de Seleção de Fornece'!O185</f>
        <v>#DIV/0!</v>
      </c>
      <c r="H185" s="30">
        <f>'Critérios de Seleção de Fornece'!Q185</f>
        <v>0</v>
      </c>
      <c r="I185" s="30" t="e">
        <f>'Critérios de Seleção de Fornece'!T185</f>
        <v>#DIV/0!</v>
      </c>
      <c r="J185" s="30" t="e">
        <f>'Critérios de Seleção de Fornece'!W185</f>
        <v>#DIV/0!</v>
      </c>
      <c r="K185" s="31" t="e">
        <f t="shared" si="16"/>
        <v>#DIV/0!</v>
      </c>
      <c r="L185" s="14"/>
      <c r="M185" s="14"/>
      <c r="N185" s="33">
        <f t="shared" si="17"/>
        <v>3</v>
      </c>
      <c r="O185" s="34" t="e">
        <f t="shared" si="18"/>
        <v>#DIV/0!</v>
      </c>
      <c r="P185" s="39" t="e">
        <f t="shared" si="19"/>
        <v>#DIV/0!</v>
      </c>
      <c r="Q185" s="11"/>
    </row>
    <row r="186" spans="2:17" x14ac:dyDescent="0.3">
      <c r="B186" s="30">
        <f>'Critérios de Seleção de Fornece'!B186</f>
        <v>181</v>
      </c>
      <c r="C186" s="30">
        <f>'Critérios de Seleção de Fornece'!C186</f>
        <v>0</v>
      </c>
      <c r="D186" s="30">
        <f>'Critérios de Seleção de Fornece'!H186</f>
        <v>0</v>
      </c>
      <c r="E186" s="30">
        <f>'Critérios de Seleção de Fornece'!I186</f>
        <v>0</v>
      </c>
      <c r="F186" s="30" t="e">
        <f>'Critérios de Seleção de Fornece'!L186</f>
        <v>#DIV/0!</v>
      </c>
      <c r="G186" s="30" t="e">
        <f>'Critérios de Seleção de Fornece'!O186</f>
        <v>#DIV/0!</v>
      </c>
      <c r="H186" s="30">
        <f>'Critérios de Seleção de Fornece'!Q186</f>
        <v>0</v>
      </c>
      <c r="I186" s="30" t="e">
        <f>'Critérios de Seleção de Fornece'!T186</f>
        <v>#DIV/0!</v>
      </c>
      <c r="J186" s="30" t="e">
        <f>'Critérios de Seleção de Fornece'!W186</f>
        <v>#DIV/0!</v>
      </c>
      <c r="K186" s="31" t="e">
        <f t="shared" si="16"/>
        <v>#DIV/0!</v>
      </c>
      <c r="L186" s="14"/>
      <c r="M186" s="14"/>
      <c r="N186" s="33">
        <f t="shared" si="17"/>
        <v>3</v>
      </c>
      <c r="O186" s="34" t="e">
        <f t="shared" si="18"/>
        <v>#DIV/0!</v>
      </c>
      <c r="P186" s="39" t="e">
        <f t="shared" si="19"/>
        <v>#DIV/0!</v>
      </c>
      <c r="Q186" s="11"/>
    </row>
    <row r="187" spans="2:17" x14ac:dyDescent="0.3">
      <c r="B187" s="30">
        <f>'Critérios de Seleção de Fornece'!B187</f>
        <v>182</v>
      </c>
      <c r="C187" s="30">
        <f>'Critérios de Seleção de Fornece'!C187</f>
        <v>0</v>
      </c>
      <c r="D187" s="30">
        <f>'Critérios de Seleção de Fornece'!H187</f>
        <v>0</v>
      </c>
      <c r="E187" s="30">
        <f>'Critérios de Seleção de Fornece'!I187</f>
        <v>0</v>
      </c>
      <c r="F187" s="30" t="e">
        <f>'Critérios de Seleção de Fornece'!L187</f>
        <v>#DIV/0!</v>
      </c>
      <c r="G187" s="30" t="e">
        <f>'Critérios de Seleção de Fornece'!O187</f>
        <v>#DIV/0!</v>
      </c>
      <c r="H187" s="30">
        <f>'Critérios de Seleção de Fornece'!Q187</f>
        <v>0</v>
      </c>
      <c r="I187" s="30" t="e">
        <f>'Critérios de Seleção de Fornece'!T187</f>
        <v>#DIV/0!</v>
      </c>
      <c r="J187" s="30" t="e">
        <f>'Critérios de Seleção de Fornece'!W187</f>
        <v>#DIV/0!</v>
      </c>
      <c r="K187" s="31" t="e">
        <f t="shared" si="16"/>
        <v>#DIV/0!</v>
      </c>
      <c r="L187" s="14"/>
      <c r="M187" s="14"/>
      <c r="N187" s="33">
        <f t="shared" si="17"/>
        <v>3</v>
      </c>
      <c r="O187" s="34" t="e">
        <f t="shared" si="18"/>
        <v>#DIV/0!</v>
      </c>
      <c r="P187" s="39" t="e">
        <f t="shared" si="19"/>
        <v>#DIV/0!</v>
      </c>
      <c r="Q187" s="11"/>
    </row>
    <row r="188" spans="2:17" x14ac:dyDescent="0.3">
      <c r="B188" s="30">
        <f>'Critérios de Seleção de Fornece'!B188</f>
        <v>183</v>
      </c>
      <c r="C188" s="30">
        <f>'Critérios de Seleção de Fornece'!C188</f>
        <v>0</v>
      </c>
      <c r="D188" s="30">
        <f>'Critérios de Seleção de Fornece'!H188</f>
        <v>0</v>
      </c>
      <c r="E188" s="30">
        <f>'Critérios de Seleção de Fornece'!I188</f>
        <v>0</v>
      </c>
      <c r="F188" s="30" t="e">
        <f>'Critérios de Seleção de Fornece'!L188</f>
        <v>#DIV/0!</v>
      </c>
      <c r="G188" s="30" t="e">
        <f>'Critérios de Seleção de Fornece'!O188</f>
        <v>#DIV/0!</v>
      </c>
      <c r="H188" s="30">
        <f>'Critérios de Seleção de Fornece'!Q188</f>
        <v>0</v>
      </c>
      <c r="I188" s="30" t="e">
        <f>'Critérios de Seleção de Fornece'!T188</f>
        <v>#DIV/0!</v>
      </c>
      <c r="J188" s="30" t="e">
        <f>'Critérios de Seleção de Fornece'!W188</f>
        <v>#DIV/0!</v>
      </c>
      <c r="K188" s="31" t="e">
        <f t="shared" si="16"/>
        <v>#DIV/0!</v>
      </c>
      <c r="L188" s="14"/>
      <c r="M188" s="14"/>
      <c r="N188" s="33">
        <f t="shared" si="17"/>
        <v>3</v>
      </c>
      <c r="O188" s="34" t="e">
        <f t="shared" si="18"/>
        <v>#DIV/0!</v>
      </c>
      <c r="P188" s="39" t="e">
        <f t="shared" si="19"/>
        <v>#DIV/0!</v>
      </c>
      <c r="Q188" s="11"/>
    </row>
    <row r="189" spans="2:17" x14ac:dyDescent="0.3">
      <c r="B189" s="30">
        <f>'Critérios de Seleção de Fornece'!B189</f>
        <v>184</v>
      </c>
      <c r="C189" s="30">
        <f>'Critérios de Seleção de Fornece'!C189</f>
        <v>0</v>
      </c>
      <c r="D189" s="30">
        <f>'Critérios de Seleção de Fornece'!H189</f>
        <v>0</v>
      </c>
      <c r="E189" s="30">
        <f>'Critérios de Seleção de Fornece'!I189</f>
        <v>0</v>
      </c>
      <c r="F189" s="30" t="e">
        <f>'Critérios de Seleção de Fornece'!L189</f>
        <v>#DIV/0!</v>
      </c>
      <c r="G189" s="30" t="e">
        <f>'Critérios de Seleção de Fornece'!O189</f>
        <v>#DIV/0!</v>
      </c>
      <c r="H189" s="30">
        <f>'Critérios de Seleção de Fornece'!Q189</f>
        <v>0</v>
      </c>
      <c r="I189" s="30" t="e">
        <f>'Critérios de Seleção de Fornece'!T189</f>
        <v>#DIV/0!</v>
      </c>
      <c r="J189" s="30" t="e">
        <f>'Critérios de Seleção de Fornece'!W189</f>
        <v>#DIV/0!</v>
      </c>
      <c r="K189" s="31" t="e">
        <f t="shared" si="16"/>
        <v>#DIV/0!</v>
      </c>
      <c r="L189" s="14"/>
      <c r="M189" s="14"/>
      <c r="N189" s="33">
        <f t="shared" si="17"/>
        <v>3</v>
      </c>
      <c r="O189" s="34" t="e">
        <f t="shared" si="18"/>
        <v>#DIV/0!</v>
      </c>
      <c r="P189" s="39" t="e">
        <f t="shared" si="19"/>
        <v>#DIV/0!</v>
      </c>
      <c r="Q189" s="11"/>
    </row>
    <row r="190" spans="2:17" x14ac:dyDescent="0.3">
      <c r="B190" s="30">
        <f>'Critérios de Seleção de Fornece'!B190</f>
        <v>185</v>
      </c>
      <c r="C190" s="30">
        <f>'Critérios de Seleção de Fornece'!C190</f>
        <v>0</v>
      </c>
      <c r="D190" s="30">
        <f>'Critérios de Seleção de Fornece'!H190</f>
        <v>0</v>
      </c>
      <c r="E190" s="30">
        <f>'Critérios de Seleção de Fornece'!I190</f>
        <v>0</v>
      </c>
      <c r="F190" s="30" t="e">
        <f>'Critérios de Seleção de Fornece'!L190</f>
        <v>#DIV/0!</v>
      </c>
      <c r="G190" s="30" t="e">
        <f>'Critérios de Seleção de Fornece'!O190</f>
        <v>#DIV/0!</v>
      </c>
      <c r="H190" s="30">
        <f>'Critérios de Seleção de Fornece'!Q190</f>
        <v>0</v>
      </c>
      <c r="I190" s="30" t="e">
        <f>'Critérios de Seleção de Fornece'!T190</f>
        <v>#DIV/0!</v>
      </c>
      <c r="J190" s="30" t="e">
        <f>'Critérios de Seleção de Fornece'!W190</f>
        <v>#DIV/0!</v>
      </c>
      <c r="K190" s="31" t="e">
        <f t="shared" si="16"/>
        <v>#DIV/0!</v>
      </c>
      <c r="L190" s="14"/>
      <c r="M190" s="14"/>
      <c r="N190" s="33">
        <f t="shared" si="17"/>
        <v>3</v>
      </c>
      <c r="O190" s="34" t="e">
        <f t="shared" si="18"/>
        <v>#DIV/0!</v>
      </c>
      <c r="P190" s="39" t="e">
        <f t="shared" si="19"/>
        <v>#DIV/0!</v>
      </c>
      <c r="Q190" s="11"/>
    </row>
    <row r="191" spans="2:17" x14ac:dyDescent="0.3">
      <c r="B191" s="30">
        <f>'Critérios de Seleção de Fornece'!B191</f>
        <v>186</v>
      </c>
      <c r="C191" s="30">
        <f>'Critérios de Seleção de Fornece'!C191</f>
        <v>0</v>
      </c>
      <c r="D191" s="30">
        <f>'Critérios de Seleção de Fornece'!H191</f>
        <v>0</v>
      </c>
      <c r="E191" s="30">
        <f>'Critérios de Seleção de Fornece'!I191</f>
        <v>0</v>
      </c>
      <c r="F191" s="30" t="e">
        <f>'Critérios de Seleção de Fornece'!L191</f>
        <v>#DIV/0!</v>
      </c>
      <c r="G191" s="30" t="e">
        <f>'Critérios de Seleção de Fornece'!O191</f>
        <v>#DIV/0!</v>
      </c>
      <c r="H191" s="30">
        <f>'Critérios de Seleção de Fornece'!Q191</f>
        <v>0</v>
      </c>
      <c r="I191" s="30" t="e">
        <f>'Critérios de Seleção de Fornece'!T191</f>
        <v>#DIV/0!</v>
      </c>
      <c r="J191" s="30" t="e">
        <f>'Critérios de Seleção de Fornece'!W191</f>
        <v>#DIV/0!</v>
      </c>
      <c r="K191" s="31" t="e">
        <f t="shared" si="16"/>
        <v>#DIV/0!</v>
      </c>
      <c r="L191" s="14"/>
      <c r="M191" s="14"/>
      <c r="N191" s="33">
        <f t="shared" si="17"/>
        <v>3</v>
      </c>
      <c r="O191" s="34" t="e">
        <f t="shared" si="18"/>
        <v>#DIV/0!</v>
      </c>
      <c r="P191" s="39" t="e">
        <f t="shared" si="19"/>
        <v>#DIV/0!</v>
      </c>
      <c r="Q191" s="11"/>
    </row>
    <row r="192" spans="2:17" x14ac:dyDescent="0.3">
      <c r="B192" s="30">
        <f>'Critérios de Seleção de Fornece'!B192</f>
        <v>187</v>
      </c>
      <c r="C192" s="30">
        <f>'Critérios de Seleção de Fornece'!C192</f>
        <v>0</v>
      </c>
      <c r="D192" s="30">
        <f>'Critérios de Seleção de Fornece'!H192</f>
        <v>0</v>
      </c>
      <c r="E192" s="30">
        <f>'Critérios de Seleção de Fornece'!I192</f>
        <v>0</v>
      </c>
      <c r="F192" s="30" t="e">
        <f>'Critérios de Seleção de Fornece'!L192</f>
        <v>#DIV/0!</v>
      </c>
      <c r="G192" s="30" t="e">
        <f>'Critérios de Seleção de Fornece'!O192</f>
        <v>#DIV/0!</v>
      </c>
      <c r="H192" s="30">
        <f>'Critérios de Seleção de Fornece'!Q192</f>
        <v>0</v>
      </c>
      <c r="I192" s="30" t="e">
        <f>'Critérios de Seleção de Fornece'!T192</f>
        <v>#DIV/0!</v>
      </c>
      <c r="J192" s="30" t="e">
        <f>'Critérios de Seleção de Fornece'!W192</f>
        <v>#DIV/0!</v>
      </c>
      <c r="K192" s="31" t="e">
        <f t="shared" si="16"/>
        <v>#DIV/0!</v>
      </c>
      <c r="L192" s="14"/>
      <c r="M192" s="14"/>
      <c r="N192" s="33">
        <f t="shared" si="17"/>
        <v>3</v>
      </c>
      <c r="O192" s="34" t="e">
        <f t="shared" si="18"/>
        <v>#DIV/0!</v>
      </c>
      <c r="P192" s="39" t="e">
        <f t="shared" si="19"/>
        <v>#DIV/0!</v>
      </c>
      <c r="Q192" s="11"/>
    </row>
    <row r="193" spans="2:17" x14ac:dyDescent="0.3">
      <c r="B193" s="30">
        <f>'Critérios de Seleção de Fornece'!B193</f>
        <v>188</v>
      </c>
      <c r="C193" s="30">
        <f>'Critérios de Seleção de Fornece'!C193</f>
        <v>0</v>
      </c>
      <c r="D193" s="30">
        <f>'Critérios de Seleção de Fornece'!H193</f>
        <v>0</v>
      </c>
      <c r="E193" s="30">
        <f>'Critérios de Seleção de Fornece'!I193</f>
        <v>0</v>
      </c>
      <c r="F193" s="30" t="e">
        <f>'Critérios de Seleção de Fornece'!L193</f>
        <v>#DIV/0!</v>
      </c>
      <c r="G193" s="30" t="e">
        <f>'Critérios de Seleção de Fornece'!O193</f>
        <v>#DIV/0!</v>
      </c>
      <c r="H193" s="30">
        <f>'Critérios de Seleção de Fornece'!Q193</f>
        <v>0</v>
      </c>
      <c r="I193" s="30" t="e">
        <f>'Critérios de Seleção de Fornece'!T193</f>
        <v>#DIV/0!</v>
      </c>
      <c r="J193" s="30" t="e">
        <f>'Critérios de Seleção de Fornece'!W193</f>
        <v>#DIV/0!</v>
      </c>
      <c r="K193" s="31" t="e">
        <f t="shared" si="16"/>
        <v>#DIV/0!</v>
      </c>
      <c r="L193" s="14"/>
      <c r="M193" s="14"/>
      <c r="N193" s="33">
        <f t="shared" si="17"/>
        <v>3</v>
      </c>
      <c r="O193" s="34" t="e">
        <f t="shared" si="18"/>
        <v>#DIV/0!</v>
      </c>
      <c r="P193" s="39" t="e">
        <f t="shared" si="19"/>
        <v>#DIV/0!</v>
      </c>
      <c r="Q193" s="11"/>
    </row>
    <row r="194" spans="2:17" x14ac:dyDescent="0.3">
      <c r="B194" s="30">
        <f>'Critérios de Seleção de Fornece'!B194</f>
        <v>189</v>
      </c>
      <c r="C194" s="30">
        <f>'Critérios de Seleção de Fornece'!C194</f>
        <v>0</v>
      </c>
      <c r="D194" s="30">
        <f>'Critérios de Seleção de Fornece'!H194</f>
        <v>0</v>
      </c>
      <c r="E194" s="30">
        <f>'Critérios de Seleção de Fornece'!I194</f>
        <v>0</v>
      </c>
      <c r="F194" s="30" t="e">
        <f>'Critérios de Seleção de Fornece'!L194</f>
        <v>#DIV/0!</v>
      </c>
      <c r="G194" s="30" t="e">
        <f>'Critérios de Seleção de Fornece'!O194</f>
        <v>#DIV/0!</v>
      </c>
      <c r="H194" s="30">
        <f>'Critérios de Seleção de Fornece'!Q194</f>
        <v>0</v>
      </c>
      <c r="I194" s="30" t="e">
        <f>'Critérios de Seleção de Fornece'!T194</f>
        <v>#DIV/0!</v>
      </c>
      <c r="J194" s="30" t="e">
        <f>'Critérios de Seleção de Fornece'!W194</f>
        <v>#DIV/0!</v>
      </c>
      <c r="K194" s="31" t="e">
        <f t="shared" si="16"/>
        <v>#DIV/0!</v>
      </c>
      <c r="L194" s="14"/>
      <c r="M194" s="14"/>
      <c r="N194" s="33">
        <f t="shared" si="17"/>
        <v>3</v>
      </c>
      <c r="O194" s="34" t="e">
        <f t="shared" si="18"/>
        <v>#DIV/0!</v>
      </c>
      <c r="P194" s="39" t="e">
        <f t="shared" si="19"/>
        <v>#DIV/0!</v>
      </c>
      <c r="Q194" s="11"/>
    </row>
    <row r="195" spans="2:17" x14ac:dyDescent="0.3">
      <c r="B195" s="30">
        <f>'Critérios de Seleção de Fornece'!B195</f>
        <v>190</v>
      </c>
      <c r="C195" s="30">
        <f>'Critérios de Seleção de Fornece'!C195</f>
        <v>0</v>
      </c>
      <c r="D195" s="30">
        <f>'Critérios de Seleção de Fornece'!H195</f>
        <v>0</v>
      </c>
      <c r="E195" s="30">
        <f>'Critérios de Seleção de Fornece'!I195</f>
        <v>0</v>
      </c>
      <c r="F195" s="30" t="e">
        <f>'Critérios de Seleção de Fornece'!L195</f>
        <v>#DIV/0!</v>
      </c>
      <c r="G195" s="30" t="e">
        <f>'Critérios de Seleção de Fornece'!O195</f>
        <v>#DIV/0!</v>
      </c>
      <c r="H195" s="30">
        <f>'Critérios de Seleção de Fornece'!Q195</f>
        <v>0</v>
      </c>
      <c r="I195" s="30" t="e">
        <f>'Critérios de Seleção de Fornece'!T195</f>
        <v>#DIV/0!</v>
      </c>
      <c r="J195" s="30" t="e">
        <f>'Critérios de Seleção de Fornece'!W195</f>
        <v>#DIV/0!</v>
      </c>
      <c r="K195" s="31" t="e">
        <f t="shared" si="16"/>
        <v>#DIV/0!</v>
      </c>
      <c r="L195" s="14"/>
      <c r="M195" s="14"/>
      <c r="N195" s="33">
        <f t="shared" si="17"/>
        <v>3</v>
      </c>
      <c r="O195" s="34" t="e">
        <f t="shared" si="18"/>
        <v>#DIV/0!</v>
      </c>
      <c r="P195" s="39" t="e">
        <f t="shared" si="19"/>
        <v>#DIV/0!</v>
      </c>
      <c r="Q195" s="11"/>
    </row>
    <row r="196" spans="2:17" x14ac:dyDescent="0.3">
      <c r="B196" s="30">
        <f>'Critérios de Seleção de Fornece'!B196</f>
        <v>191</v>
      </c>
      <c r="C196" s="30">
        <f>'Critérios de Seleção de Fornece'!C196</f>
        <v>0</v>
      </c>
      <c r="D196" s="30">
        <f>'Critérios de Seleção de Fornece'!H196</f>
        <v>0</v>
      </c>
      <c r="E196" s="30">
        <f>'Critérios de Seleção de Fornece'!I196</f>
        <v>0</v>
      </c>
      <c r="F196" s="30" t="e">
        <f>'Critérios de Seleção de Fornece'!L196</f>
        <v>#DIV/0!</v>
      </c>
      <c r="G196" s="30" t="e">
        <f>'Critérios de Seleção de Fornece'!O196</f>
        <v>#DIV/0!</v>
      </c>
      <c r="H196" s="30">
        <f>'Critérios de Seleção de Fornece'!Q196</f>
        <v>0</v>
      </c>
      <c r="I196" s="30" t="e">
        <f>'Critérios de Seleção de Fornece'!T196</f>
        <v>#DIV/0!</v>
      </c>
      <c r="J196" s="30" t="e">
        <f>'Critérios de Seleção de Fornece'!W196</f>
        <v>#DIV/0!</v>
      </c>
      <c r="K196" s="31" t="e">
        <f t="shared" si="16"/>
        <v>#DIV/0!</v>
      </c>
      <c r="L196" s="14"/>
      <c r="M196" s="14"/>
      <c r="N196" s="33">
        <f t="shared" si="17"/>
        <v>3</v>
      </c>
      <c r="O196" s="34" t="e">
        <f t="shared" si="18"/>
        <v>#DIV/0!</v>
      </c>
      <c r="P196" s="39" t="e">
        <f t="shared" si="19"/>
        <v>#DIV/0!</v>
      </c>
      <c r="Q196" s="11"/>
    </row>
    <row r="197" spans="2:17" x14ac:dyDescent="0.3">
      <c r="B197" s="30">
        <f>'Critérios de Seleção de Fornece'!B197</f>
        <v>192</v>
      </c>
      <c r="C197" s="30">
        <f>'Critérios de Seleção de Fornece'!C197</f>
        <v>0</v>
      </c>
      <c r="D197" s="30">
        <f>'Critérios de Seleção de Fornece'!H197</f>
        <v>0</v>
      </c>
      <c r="E197" s="30">
        <f>'Critérios de Seleção de Fornece'!I197</f>
        <v>0</v>
      </c>
      <c r="F197" s="30" t="e">
        <f>'Critérios de Seleção de Fornece'!L197</f>
        <v>#DIV/0!</v>
      </c>
      <c r="G197" s="30" t="e">
        <f>'Critérios de Seleção de Fornece'!O197</f>
        <v>#DIV/0!</v>
      </c>
      <c r="H197" s="30">
        <f>'Critérios de Seleção de Fornece'!Q197</f>
        <v>0</v>
      </c>
      <c r="I197" s="30" t="e">
        <f>'Critérios de Seleção de Fornece'!T197</f>
        <v>#DIV/0!</v>
      </c>
      <c r="J197" s="30" t="e">
        <f>'Critérios de Seleção de Fornece'!W197</f>
        <v>#DIV/0!</v>
      </c>
      <c r="K197" s="31" t="e">
        <f t="shared" si="16"/>
        <v>#DIV/0!</v>
      </c>
      <c r="L197" s="14"/>
      <c r="M197" s="14"/>
      <c r="N197" s="33">
        <f t="shared" si="17"/>
        <v>3</v>
      </c>
      <c r="O197" s="34" t="e">
        <f t="shared" si="18"/>
        <v>#DIV/0!</v>
      </c>
      <c r="P197" s="39" t="e">
        <f t="shared" si="19"/>
        <v>#DIV/0!</v>
      </c>
      <c r="Q197" s="11"/>
    </row>
    <row r="198" spans="2:17" x14ac:dyDescent="0.3">
      <c r="B198" s="30">
        <f>'Critérios de Seleção de Fornece'!B198</f>
        <v>193</v>
      </c>
      <c r="C198" s="30">
        <f>'Critérios de Seleção de Fornece'!C198</f>
        <v>0</v>
      </c>
      <c r="D198" s="30">
        <f>'Critérios de Seleção de Fornece'!H198</f>
        <v>0</v>
      </c>
      <c r="E198" s="30">
        <f>'Critérios de Seleção de Fornece'!I198</f>
        <v>0</v>
      </c>
      <c r="F198" s="30" t="e">
        <f>'Critérios de Seleção de Fornece'!L198</f>
        <v>#DIV/0!</v>
      </c>
      <c r="G198" s="30" t="e">
        <f>'Critérios de Seleção de Fornece'!O198</f>
        <v>#DIV/0!</v>
      </c>
      <c r="H198" s="30">
        <f>'Critérios de Seleção de Fornece'!Q198</f>
        <v>0</v>
      </c>
      <c r="I198" s="30" t="e">
        <f>'Critérios de Seleção de Fornece'!T198</f>
        <v>#DIV/0!</v>
      </c>
      <c r="J198" s="30" t="e">
        <f>'Critérios de Seleção de Fornece'!W198</f>
        <v>#DIV/0!</v>
      </c>
      <c r="K198" s="31" t="e">
        <f t="shared" si="16"/>
        <v>#DIV/0!</v>
      </c>
      <c r="L198" s="14"/>
      <c r="M198" s="14"/>
      <c r="N198" s="33">
        <f t="shared" si="17"/>
        <v>3</v>
      </c>
      <c r="O198" s="34" t="e">
        <f t="shared" si="18"/>
        <v>#DIV/0!</v>
      </c>
      <c r="P198" s="39" t="e">
        <f t="shared" si="19"/>
        <v>#DIV/0!</v>
      </c>
      <c r="Q198" s="11"/>
    </row>
    <row r="199" spans="2:17" x14ac:dyDescent="0.3">
      <c r="B199" s="30">
        <f>'Critérios de Seleção de Fornece'!B199</f>
        <v>194</v>
      </c>
      <c r="C199" s="30">
        <f>'Critérios de Seleção de Fornece'!C199</f>
        <v>0</v>
      </c>
      <c r="D199" s="30">
        <f>'Critérios de Seleção de Fornece'!H199</f>
        <v>0</v>
      </c>
      <c r="E199" s="30">
        <f>'Critérios de Seleção de Fornece'!I199</f>
        <v>0</v>
      </c>
      <c r="F199" s="30" t="e">
        <f>'Critérios de Seleção de Fornece'!L199</f>
        <v>#DIV/0!</v>
      </c>
      <c r="G199" s="30" t="e">
        <f>'Critérios de Seleção de Fornece'!O199</f>
        <v>#DIV/0!</v>
      </c>
      <c r="H199" s="30">
        <f>'Critérios de Seleção de Fornece'!Q199</f>
        <v>0</v>
      </c>
      <c r="I199" s="30" t="e">
        <f>'Critérios de Seleção de Fornece'!T199</f>
        <v>#DIV/0!</v>
      </c>
      <c r="J199" s="30" t="e">
        <f>'Critérios de Seleção de Fornece'!W199</f>
        <v>#DIV/0!</v>
      </c>
      <c r="K199" s="31" t="e">
        <f t="shared" si="16"/>
        <v>#DIV/0!</v>
      </c>
      <c r="L199" s="14"/>
      <c r="M199" s="14"/>
      <c r="N199" s="33">
        <f t="shared" si="17"/>
        <v>3</v>
      </c>
      <c r="O199" s="34" t="e">
        <f t="shared" si="18"/>
        <v>#DIV/0!</v>
      </c>
      <c r="P199" s="39" t="e">
        <f t="shared" si="19"/>
        <v>#DIV/0!</v>
      </c>
      <c r="Q199" s="11"/>
    </row>
    <row r="200" spans="2:17" x14ac:dyDescent="0.3">
      <c r="B200" s="30">
        <f>'Critérios de Seleção de Fornece'!B200</f>
        <v>195</v>
      </c>
      <c r="C200" s="30">
        <f>'Critérios de Seleção de Fornece'!C200</f>
        <v>0</v>
      </c>
      <c r="D200" s="30">
        <f>'Critérios de Seleção de Fornece'!H200</f>
        <v>0</v>
      </c>
      <c r="E200" s="30">
        <f>'Critérios de Seleção de Fornece'!I200</f>
        <v>0</v>
      </c>
      <c r="F200" s="30" t="e">
        <f>'Critérios de Seleção de Fornece'!L200</f>
        <v>#DIV/0!</v>
      </c>
      <c r="G200" s="30" t="e">
        <f>'Critérios de Seleção de Fornece'!O200</f>
        <v>#DIV/0!</v>
      </c>
      <c r="H200" s="30">
        <f>'Critérios de Seleção de Fornece'!Q200</f>
        <v>0</v>
      </c>
      <c r="I200" s="30" t="e">
        <f>'Critérios de Seleção de Fornece'!T200</f>
        <v>#DIV/0!</v>
      </c>
      <c r="J200" s="30" t="e">
        <f>'Critérios de Seleção de Fornece'!W200</f>
        <v>#DIV/0!</v>
      </c>
      <c r="K200" s="31" t="e">
        <f t="shared" si="16"/>
        <v>#DIV/0!</v>
      </c>
      <c r="L200" s="14"/>
      <c r="M200" s="14"/>
      <c r="N200" s="33">
        <f t="shared" si="17"/>
        <v>3</v>
      </c>
      <c r="O200" s="34" t="e">
        <f t="shared" si="18"/>
        <v>#DIV/0!</v>
      </c>
      <c r="P200" s="39" t="e">
        <f t="shared" si="19"/>
        <v>#DIV/0!</v>
      </c>
      <c r="Q200" s="11"/>
    </row>
    <row r="201" spans="2:17" x14ac:dyDescent="0.3">
      <c r="B201" s="30">
        <f>'Critérios de Seleção de Fornece'!B201</f>
        <v>196</v>
      </c>
      <c r="C201" s="30">
        <f>'Critérios de Seleção de Fornece'!C201</f>
        <v>0</v>
      </c>
      <c r="D201" s="30">
        <f>'Critérios de Seleção de Fornece'!H201</f>
        <v>0</v>
      </c>
      <c r="E201" s="30">
        <f>'Critérios de Seleção de Fornece'!I201</f>
        <v>0</v>
      </c>
      <c r="F201" s="30" t="e">
        <f>'Critérios de Seleção de Fornece'!L201</f>
        <v>#DIV/0!</v>
      </c>
      <c r="G201" s="30" t="e">
        <f>'Critérios de Seleção de Fornece'!O201</f>
        <v>#DIV/0!</v>
      </c>
      <c r="H201" s="30">
        <f>'Critérios de Seleção de Fornece'!Q201</f>
        <v>0</v>
      </c>
      <c r="I201" s="30" t="e">
        <f>'Critérios de Seleção de Fornece'!T201</f>
        <v>#DIV/0!</v>
      </c>
      <c r="J201" s="30" t="e">
        <f>'Critérios de Seleção de Fornece'!W201</f>
        <v>#DIV/0!</v>
      </c>
      <c r="K201" s="31" t="e">
        <f t="shared" si="16"/>
        <v>#DIV/0!</v>
      </c>
      <c r="L201" s="14"/>
      <c r="M201" s="14"/>
      <c r="N201" s="33">
        <f t="shared" si="17"/>
        <v>3</v>
      </c>
      <c r="O201" s="34" t="e">
        <f t="shared" si="18"/>
        <v>#DIV/0!</v>
      </c>
      <c r="P201" s="39" t="e">
        <f t="shared" si="19"/>
        <v>#DIV/0!</v>
      </c>
      <c r="Q201" s="11"/>
    </row>
    <row r="202" spans="2:17" x14ac:dyDescent="0.3">
      <c r="B202" s="30">
        <f>'Critérios de Seleção de Fornece'!B202</f>
        <v>197</v>
      </c>
      <c r="C202" s="30">
        <f>'Critérios de Seleção de Fornece'!C202</f>
        <v>0</v>
      </c>
      <c r="D202" s="30">
        <f>'Critérios de Seleção de Fornece'!H202</f>
        <v>0</v>
      </c>
      <c r="E202" s="30">
        <f>'Critérios de Seleção de Fornece'!I202</f>
        <v>0</v>
      </c>
      <c r="F202" s="30" t="e">
        <f>'Critérios de Seleção de Fornece'!L202</f>
        <v>#DIV/0!</v>
      </c>
      <c r="G202" s="30" t="e">
        <f>'Critérios de Seleção de Fornece'!O202</f>
        <v>#DIV/0!</v>
      </c>
      <c r="H202" s="30">
        <f>'Critérios de Seleção de Fornece'!Q202</f>
        <v>0</v>
      </c>
      <c r="I202" s="30" t="e">
        <f>'Critérios de Seleção de Fornece'!T202</f>
        <v>#DIV/0!</v>
      </c>
      <c r="J202" s="30" t="e">
        <f>'Critérios de Seleção de Fornece'!W202</f>
        <v>#DIV/0!</v>
      </c>
      <c r="K202" s="31" t="e">
        <f t="shared" si="16"/>
        <v>#DIV/0!</v>
      </c>
      <c r="L202" s="14"/>
      <c r="M202" s="14"/>
      <c r="N202" s="33">
        <f t="shared" si="17"/>
        <v>3</v>
      </c>
      <c r="O202" s="34" t="e">
        <f t="shared" si="18"/>
        <v>#DIV/0!</v>
      </c>
      <c r="P202" s="39" t="e">
        <f t="shared" si="19"/>
        <v>#DIV/0!</v>
      </c>
      <c r="Q202" s="11"/>
    </row>
    <row r="203" spans="2:17" x14ac:dyDescent="0.3">
      <c r="B203" s="30">
        <f>'Critérios de Seleção de Fornece'!B203</f>
        <v>198</v>
      </c>
      <c r="C203" s="30">
        <f>'Critérios de Seleção de Fornece'!C203</f>
        <v>0</v>
      </c>
      <c r="D203" s="30">
        <f>'Critérios de Seleção de Fornece'!H203</f>
        <v>0</v>
      </c>
      <c r="E203" s="30">
        <f>'Critérios de Seleção de Fornece'!I203</f>
        <v>0</v>
      </c>
      <c r="F203" s="30" t="e">
        <f>'Critérios de Seleção de Fornece'!L203</f>
        <v>#DIV/0!</v>
      </c>
      <c r="G203" s="30" t="e">
        <f>'Critérios de Seleção de Fornece'!O203</f>
        <v>#DIV/0!</v>
      </c>
      <c r="H203" s="30">
        <f>'Critérios de Seleção de Fornece'!Q203</f>
        <v>0</v>
      </c>
      <c r="I203" s="30" t="e">
        <f>'Critérios de Seleção de Fornece'!T203</f>
        <v>#DIV/0!</v>
      </c>
      <c r="J203" s="30" t="e">
        <f>'Critérios de Seleção de Fornece'!W203</f>
        <v>#DIV/0!</v>
      </c>
      <c r="K203" s="31" t="e">
        <f t="shared" si="16"/>
        <v>#DIV/0!</v>
      </c>
      <c r="L203" s="14"/>
      <c r="M203" s="14"/>
      <c r="N203" s="33">
        <f t="shared" si="17"/>
        <v>3</v>
      </c>
      <c r="O203" s="34" t="e">
        <f t="shared" si="18"/>
        <v>#DIV/0!</v>
      </c>
      <c r="P203" s="39" t="e">
        <f t="shared" si="19"/>
        <v>#DIV/0!</v>
      </c>
      <c r="Q203" s="11"/>
    </row>
    <row r="204" spans="2:17" x14ac:dyDescent="0.3">
      <c r="B204" s="30">
        <f>'Critérios de Seleção de Fornece'!B204</f>
        <v>199</v>
      </c>
      <c r="C204" s="30">
        <f>'Critérios de Seleção de Fornece'!C204</f>
        <v>0</v>
      </c>
      <c r="D204" s="30">
        <f>'Critérios de Seleção de Fornece'!H204</f>
        <v>0</v>
      </c>
      <c r="E204" s="30">
        <f>'Critérios de Seleção de Fornece'!I204</f>
        <v>0</v>
      </c>
      <c r="F204" s="30" t="e">
        <f>'Critérios de Seleção de Fornece'!L204</f>
        <v>#DIV/0!</v>
      </c>
      <c r="G204" s="30" t="e">
        <f>'Critérios de Seleção de Fornece'!O204</f>
        <v>#DIV/0!</v>
      </c>
      <c r="H204" s="30">
        <f>'Critérios de Seleção de Fornece'!Q204</f>
        <v>0</v>
      </c>
      <c r="I204" s="30" t="e">
        <f>'Critérios de Seleção de Fornece'!T204</f>
        <v>#DIV/0!</v>
      </c>
      <c r="J204" s="30" t="e">
        <f>'Critérios de Seleção de Fornece'!W204</f>
        <v>#DIV/0!</v>
      </c>
      <c r="K204" s="31" t="e">
        <f t="shared" si="16"/>
        <v>#DIV/0!</v>
      </c>
      <c r="L204" s="14"/>
      <c r="M204" s="14"/>
      <c r="N204" s="33">
        <f t="shared" si="17"/>
        <v>3</v>
      </c>
      <c r="O204" s="34" t="e">
        <f t="shared" si="18"/>
        <v>#DIV/0!</v>
      </c>
      <c r="P204" s="39" t="e">
        <f t="shared" si="19"/>
        <v>#DIV/0!</v>
      </c>
      <c r="Q204" s="11"/>
    </row>
    <row r="205" spans="2:17" x14ac:dyDescent="0.3">
      <c r="B205" s="30">
        <f>'Critérios de Seleção de Fornece'!B205</f>
        <v>200</v>
      </c>
      <c r="C205" s="30">
        <f>'Critérios de Seleção de Fornece'!C205</f>
        <v>0</v>
      </c>
      <c r="D205" s="30">
        <f>'Critérios de Seleção de Fornece'!H205</f>
        <v>0</v>
      </c>
      <c r="E205" s="30">
        <f>'Critérios de Seleção de Fornece'!I205</f>
        <v>0</v>
      </c>
      <c r="F205" s="30" t="e">
        <f>'Critérios de Seleção de Fornece'!L205</f>
        <v>#DIV/0!</v>
      </c>
      <c r="G205" s="30" t="e">
        <f>'Critérios de Seleção de Fornece'!O205</f>
        <v>#DIV/0!</v>
      </c>
      <c r="H205" s="30">
        <f>'Critérios de Seleção de Fornece'!Q205</f>
        <v>0</v>
      </c>
      <c r="I205" s="30" t="e">
        <f>'Critérios de Seleção de Fornece'!T205</f>
        <v>#DIV/0!</v>
      </c>
      <c r="J205" s="30" t="e">
        <f>'Critérios de Seleção de Fornece'!W205</f>
        <v>#DIV/0!</v>
      </c>
      <c r="K205" s="31" t="e">
        <f t="shared" si="16"/>
        <v>#DIV/0!</v>
      </c>
      <c r="L205" s="14"/>
      <c r="M205" s="14"/>
      <c r="N205" s="33">
        <f t="shared" si="17"/>
        <v>3</v>
      </c>
      <c r="O205" s="34" t="e">
        <f t="shared" si="18"/>
        <v>#DIV/0!</v>
      </c>
      <c r="P205" s="39" t="e">
        <f t="shared" si="19"/>
        <v>#DIV/0!</v>
      </c>
      <c r="Q205" s="11"/>
    </row>
    <row r="206" spans="2:17" x14ac:dyDescent="0.3">
      <c r="B206" s="30">
        <f>'Critérios de Seleção de Fornece'!B206</f>
        <v>201</v>
      </c>
      <c r="C206" s="30">
        <f>'Critérios de Seleção de Fornece'!C206</f>
        <v>0</v>
      </c>
      <c r="D206" s="30">
        <f>'Critérios de Seleção de Fornece'!H206</f>
        <v>0</v>
      </c>
      <c r="E206" s="30">
        <f>'Critérios de Seleção de Fornece'!I206</f>
        <v>0</v>
      </c>
      <c r="F206" s="30" t="e">
        <f>'Critérios de Seleção de Fornece'!L206</f>
        <v>#DIV/0!</v>
      </c>
      <c r="G206" s="30" t="e">
        <f>'Critérios de Seleção de Fornece'!O206</f>
        <v>#DIV/0!</v>
      </c>
      <c r="H206" s="30">
        <f>'Critérios de Seleção de Fornece'!Q206</f>
        <v>0</v>
      </c>
      <c r="I206" s="30" t="e">
        <f>'Critérios de Seleção de Fornece'!T206</f>
        <v>#DIV/0!</v>
      </c>
      <c r="J206" s="30" t="e">
        <f>'Critérios de Seleção de Fornece'!W206</f>
        <v>#DIV/0!</v>
      </c>
      <c r="K206" s="31" t="e">
        <f t="shared" si="16"/>
        <v>#DIV/0!</v>
      </c>
      <c r="L206" s="14"/>
      <c r="M206" s="14"/>
      <c r="N206" s="33">
        <f t="shared" si="17"/>
        <v>3</v>
      </c>
      <c r="O206" s="34" t="e">
        <f t="shared" si="18"/>
        <v>#DIV/0!</v>
      </c>
      <c r="P206" s="39" t="e">
        <f t="shared" si="19"/>
        <v>#DIV/0!</v>
      </c>
      <c r="Q206" s="11"/>
    </row>
    <row r="207" spans="2:17" x14ac:dyDescent="0.3">
      <c r="B207" s="30">
        <f>'Critérios de Seleção de Fornece'!B207</f>
        <v>202</v>
      </c>
      <c r="C207" s="30">
        <f>'Critérios de Seleção de Fornece'!C207</f>
        <v>0</v>
      </c>
      <c r="D207" s="30">
        <f>'Critérios de Seleção de Fornece'!H207</f>
        <v>0</v>
      </c>
      <c r="E207" s="30">
        <f>'Critérios de Seleção de Fornece'!I207</f>
        <v>0</v>
      </c>
      <c r="F207" s="30" t="e">
        <f>'Critérios de Seleção de Fornece'!L207</f>
        <v>#DIV/0!</v>
      </c>
      <c r="G207" s="30" t="e">
        <f>'Critérios de Seleção de Fornece'!O207</f>
        <v>#DIV/0!</v>
      </c>
      <c r="H207" s="30">
        <f>'Critérios de Seleção de Fornece'!Q207</f>
        <v>0</v>
      </c>
      <c r="I207" s="30" t="e">
        <f>'Critérios de Seleção de Fornece'!T207</f>
        <v>#DIV/0!</v>
      </c>
      <c r="J207" s="30" t="e">
        <f>'Critérios de Seleção de Fornece'!W207</f>
        <v>#DIV/0!</v>
      </c>
      <c r="K207" s="31" t="e">
        <f t="shared" si="16"/>
        <v>#DIV/0!</v>
      </c>
      <c r="L207" s="14"/>
      <c r="M207" s="14"/>
      <c r="N207" s="33">
        <f t="shared" si="17"/>
        <v>3</v>
      </c>
      <c r="O207" s="34" t="e">
        <f t="shared" si="18"/>
        <v>#DIV/0!</v>
      </c>
      <c r="P207" s="39" t="e">
        <f t="shared" si="19"/>
        <v>#DIV/0!</v>
      </c>
      <c r="Q207" s="11"/>
    </row>
    <row r="208" spans="2:17" x14ac:dyDescent="0.3">
      <c r="B208" s="30">
        <f>'Critérios de Seleção de Fornece'!B208</f>
        <v>203</v>
      </c>
      <c r="C208" s="30">
        <f>'Critérios de Seleção de Fornece'!C208</f>
        <v>0</v>
      </c>
      <c r="D208" s="30">
        <f>'Critérios de Seleção de Fornece'!H208</f>
        <v>0</v>
      </c>
      <c r="E208" s="30">
        <f>'Critérios de Seleção de Fornece'!I208</f>
        <v>0</v>
      </c>
      <c r="F208" s="30" t="e">
        <f>'Critérios de Seleção de Fornece'!L208</f>
        <v>#DIV/0!</v>
      </c>
      <c r="G208" s="30" t="e">
        <f>'Critérios de Seleção de Fornece'!O208</f>
        <v>#DIV/0!</v>
      </c>
      <c r="H208" s="30">
        <f>'Critérios de Seleção de Fornece'!Q208</f>
        <v>0</v>
      </c>
      <c r="I208" s="30" t="e">
        <f>'Critérios de Seleção de Fornece'!T208</f>
        <v>#DIV/0!</v>
      </c>
      <c r="J208" s="30" t="e">
        <f>'Critérios de Seleção de Fornece'!W208</f>
        <v>#DIV/0!</v>
      </c>
      <c r="K208" s="31" t="e">
        <f t="shared" si="16"/>
        <v>#DIV/0!</v>
      </c>
      <c r="L208" s="14"/>
      <c r="M208" s="14"/>
      <c r="N208" s="33">
        <f t="shared" si="17"/>
        <v>3</v>
      </c>
      <c r="O208" s="34" t="e">
        <f t="shared" si="18"/>
        <v>#DIV/0!</v>
      </c>
      <c r="P208" s="39" t="e">
        <f t="shared" si="19"/>
        <v>#DIV/0!</v>
      </c>
      <c r="Q208" s="11"/>
    </row>
    <row r="209" spans="2:17" x14ac:dyDescent="0.3">
      <c r="B209" s="30">
        <f>'Critérios de Seleção de Fornece'!B209</f>
        <v>204</v>
      </c>
      <c r="C209" s="30">
        <f>'Critérios de Seleção de Fornece'!C209</f>
        <v>0</v>
      </c>
      <c r="D209" s="30">
        <f>'Critérios de Seleção de Fornece'!H209</f>
        <v>0</v>
      </c>
      <c r="E209" s="30">
        <f>'Critérios de Seleção de Fornece'!I209</f>
        <v>0</v>
      </c>
      <c r="F209" s="30" t="e">
        <f>'Critérios de Seleção de Fornece'!L209</f>
        <v>#DIV/0!</v>
      </c>
      <c r="G209" s="30" t="e">
        <f>'Critérios de Seleção de Fornece'!O209</f>
        <v>#DIV/0!</v>
      </c>
      <c r="H209" s="30">
        <f>'Critérios de Seleção de Fornece'!Q209</f>
        <v>0</v>
      </c>
      <c r="I209" s="30" t="e">
        <f>'Critérios de Seleção de Fornece'!T209</f>
        <v>#DIV/0!</v>
      </c>
      <c r="J209" s="30" t="e">
        <f>'Critérios de Seleção de Fornece'!W209</f>
        <v>#DIV/0!</v>
      </c>
      <c r="K209" s="31" t="e">
        <f t="shared" si="16"/>
        <v>#DIV/0!</v>
      </c>
      <c r="L209" s="14"/>
      <c r="M209" s="14"/>
      <c r="N209" s="33">
        <f t="shared" si="17"/>
        <v>3</v>
      </c>
      <c r="O209" s="34" t="e">
        <f t="shared" si="18"/>
        <v>#DIV/0!</v>
      </c>
      <c r="P209" s="39" t="e">
        <f t="shared" si="19"/>
        <v>#DIV/0!</v>
      </c>
      <c r="Q209" s="11"/>
    </row>
    <row r="210" spans="2:17" x14ac:dyDescent="0.3">
      <c r="B210" s="30">
        <f>'Critérios de Seleção de Fornece'!B210</f>
        <v>205</v>
      </c>
      <c r="C210" s="30">
        <f>'Critérios de Seleção de Fornece'!C210</f>
        <v>0</v>
      </c>
      <c r="D210" s="30">
        <f>'Critérios de Seleção de Fornece'!H210</f>
        <v>0</v>
      </c>
      <c r="E210" s="30">
        <f>'Critérios de Seleção de Fornece'!I210</f>
        <v>0</v>
      </c>
      <c r="F210" s="30" t="e">
        <f>'Critérios de Seleção de Fornece'!L210</f>
        <v>#DIV/0!</v>
      </c>
      <c r="G210" s="30" t="e">
        <f>'Critérios de Seleção de Fornece'!O210</f>
        <v>#DIV/0!</v>
      </c>
      <c r="H210" s="30">
        <f>'Critérios de Seleção de Fornece'!Q210</f>
        <v>0</v>
      </c>
      <c r="I210" s="30" t="e">
        <f>'Critérios de Seleção de Fornece'!T210</f>
        <v>#DIV/0!</v>
      </c>
      <c r="J210" s="30" t="e">
        <f>'Critérios de Seleção de Fornece'!W210</f>
        <v>#DIV/0!</v>
      </c>
      <c r="K210" s="31" t="e">
        <f t="shared" si="16"/>
        <v>#DIV/0!</v>
      </c>
      <c r="L210" s="14"/>
      <c r="M210" s="14"/>
      <c r="N210" s="33">
        <f t="shared" si="17"/>
        <v>3</v>
      </c>
      <c r="O210" s="34" t="e">
        <f t="shared" si="18"/>
        <v>#DIV/0!</v>
      </c>
      <c r="P210" s="39" t="e">
        <f t="shared" si="19"/>
        <v>#DIV/0!</v>
      </c>
      <c r="Q210" s="11"/>
    </row>
    <row r="211" spans="2:17" x14ac:dyDescent="0.3">
      <c r="B211" s="30">
        <f>'Critérios de Seleção de Fornece'!B211</f>
        <v>206</v>
      </c>
      <c r="C211" s="30">
        <f>'Critérios de Seleção de Fornece'!C211</f>
        <v>0</v>
      </c>
      <c r="D211" s="30">
        <f>'Critérios de Seleção de Fornece'!H211</f>
        <v>0</v>
      </c>
      <c r="E211" s="30">
        <f>'Critérios de Seleção de Fornece'!I211</f>
        <v>0</v>
      </c>
      <c r="F211" s="30" t="e">
        <f>'Critérios de Seleção de Fornece'!L211</f>
        <v>#DIV/0!</v>
      </c>
      <c r="G211" s="30" t="e">
        <f>'Critérios de Seleção de Fornece'!O211</f>
        <v>#DIV/0!</v>
      </c>
      <c r="H211" s="30">
        <f>'Critérios de Seleção de Fornece'!Q211</f>
        <v>0</v>
      </c>
      <c r="I211" s="30" t="e">
        <f>'Critérios de Seleção de Fornece'!T211</f>
        <v>#DIV/0!</v>
      </c>
      <c r="J211" s="30" t="e">
        <f>'Critérios de Seleção de Fornece'!W211</f>
        <v>#DIV/0!</v>
      </c>
      <c r="K211" s="31" t="e">
        <f t="shared" si="16"/>
        <v>#DIV/0!</v>
      </c>
      <c r="L211" s="14"/>
      <c r="M211" s="14"/>
      <c r="N211" s="33">
        <f t="shared" si="17"/>
        <v>3</v>
      </c>
      <c r="O211" s="34" t="e">
        <f t="shared" si="18"/>
        <v>#DIV/0!</v>
      </c>
      <c r="P211" s="39" t="e">
        <f t="shared" si="19"/>
        <v>#DIV/0!</v>
      </c>
      <c r="Q211" s="11"/>
    </row>
    <row r="212" spans="2:17" x14ac:dyDescent="0.3">
      <c r="B212" s="30">
        <f>'Critérios de Seleção de Fornece'!B212</f>
        <v>207</v>
      </c>
      <c r="C212" s="30">
        <f>'Critérios de Seleção de Fornece'!C212</f>
        <v>0</v>
      </c>
      <c r="D212" s="30">
        <f>'Critérios de Seleção de Fornece'!H212</f>
        <v>0</v>
      </c>
      <c r="E212" s="30">
        <f>'Critérios de Seleção de Fornece'!I212</f>
        <v>0</v>
      </c>
      <c r="F212" s="30" t="e">
        <f>'Critérios de Seleção de Fornece'!L212</f>
        <v>#DIV/0!</v>
      </c>
      <c r="G212" s="30" t="e">
        <f>'Critérios de Seleção de Fornece'!O212</f>
        <v>#DIV/0!</v>
      </c>
      <c r="H212" s="30">
        <f>'Critérios de Seleção de Fornece'!Q212</f>
        <v>0</v>
      </c>
      <c r="I212" s="30" t="e">
        <f>'Critérios de Seleção de Fornece'!T212</f>
        <v>#DIV/0!</v>
      </c>
      <c r="J212" s="30" t="e">
        <f>'Critérios de Seleção de Fornece'!W212</f>
        <v>#DIV/0!</v>
      </c>
      <c r="K212" s="31" t="e">
        <f t="shared" si="16"/>
        <v>#DIV/0!</v>
      </c>
      <c r="L212" s="14"/>
      <c r="M212" s="14"/>
      <c r="N212" s="33">
        <f t="shared" si="17"/>
        <v>3</v>
      </c>
      <c r="O212" s="34" t="e">
        <f t="shared" si="18"/>
        <v>#DIV/0!</v>
      </c>
      <c r="P212" s="39" t="e">
        <f t="shared" si="19"/>
        <v>#DIV/0!</v>
      </c>
      <c r="Q212" s="11"/>
    </row>
    <row r="213" spans="2:17" x14ac:dyDescent="0.3">
      <c r="B213" s="30">
        <f>'Critérios de Seleção de Fornece'!B213</f>
        <v>208</v>
      </c>
      <c r="C213" s="30">
        <f>'Critérios de Seleção de Fornece'!C213</f>
        <v>0</v>
      </c>
      <c r="D213" s="30">
        <f>'Critérios de Seleção de Fornece'!H213</f>
        <v>0</v>
      </c>
      <c r="E213" s="30">
        <f>'Critérios de Seleção de Fornece'!I213</f>
        <v>0</v>
      </c>
      <c r="F213" s="30" t="e">
        <f>'Critérios de Seleção de Fornece'!L213</f>
        <v>#DIV/0!</v>
      </c>
      <c r="G213" s="30" t="e">
        <f>'Critérios de Seleção de Fornece'!O213</f>
        <v>#DIV/0!</v>
      </c>
      <c r="H213" s="30">
        <f>'Critérios de Seleção de Fornece'!Q213</f>
        <v>0</v>
      </c>
      <c r="I213" s="30" t="e">
        <f>'Critérios de Seleção de Fornece'!T213</f>
        <v>#DIV/0!</v>
      </c>
      <c r="J213" s="30" t="e">
        <f>'Critérios de Seleção de Fornece'!W213</f>
        <v>#DIV/0!</v>
      </c>
      <c r="K213" s="31" t="e">
        <f t="shared" si="16"/>
        <v>#DIV/0!</v>
      </c>
      <c r="L213" s="14"/>
      <c r="M213" s="14"/>
      <c r="N213" s="33">
        <f t="shared" si="17"/>
        <v>3</v>
      </c>
      <c r="O213" s="34" t="e">
        <f t="shared" si="18"/>
        <v>#DIV/0!</v>
      </c>
      <c r="P213" s="39" t="e">
        <f t="shared" si="19"/>
        <v>#DIV/0!</v>
      </c>
      <c r="Q213" s="11"/>
    </row>
    <row r="214" spans="2:17" x14ac:dyDescent="0.3">
      <c r="B214" s="30">
        <f>'Critérios de Seleção de Fornece'!B214</f>
        <v>209</v>
      </c>
      <c r="C214" s="30">
        <f>'Critérios de Seleção de Fornece'!C214</f>
        <v>0</v>
      </c>
      <c r="D214" s="30">
        <f>'Critérios de Seleção de Fornece'!H214</f>
        <v>0</v>
      </c>
      <c r="E214" s="30">
        <f>'Critérios de Seleção de Fornece'!I214</f>
        <v>0</v>
      </c>
      <c r="F214" s="30" t="e">
        <f>'Critérios de Seleção de Fornece'!L214</f>
        <v>#DIV/0!</v>
      </c>
      <c r="G214" s="30" t="e">
        <f>'Critérios de Seleção de Fornece'!O214</f>
        <v>#DIV/0!</v>
      </c>
      <c r="H214" s="30">
        <f>'Critérios de Seleção de Fornece'!Q214</f>
        <v>0</v>
      </c>
      <c r="I214" s="30" t="e">
        <f>'Critérios de Seleção de Fornece'!T214</f>
        <v>#DIV/0!</v>
      </c>
      <c r="J214" s="30" t="e">
        <f>'Critérios de Seleção de Fornece'!W214</f>
        <v>#DIV/0!</v>
      </c>
      <c r="K214" s="31" t="e">
        <f t="shared" si="16"/>
        <v>#DIV/0!</v>
      </c>
      <c r="L214" s="14"/>
      <c r="M214" s="14"/>
      <c r="N214" s="33">
        <f t="shared" si="17"/>
        <v>3</v>
      </c>
      <c r="O214" s="34" t="e">
        <f t="shared" si="18"/>
        <v>#DIV/0!</v>
      </c>
      <c r="P214" s="39" t="e">
        <f t="shared" si="19"/>
        <v>#DIV/0!</v>
      </c>
      <c r="Q214" s="11"/>
    </row>
    <row r="215" spans="2:17" x14ac:dyDescent="0.3">
      <c r="B215" s="30">
        <f>'Critérios de Seleção de Fornece'!B215</f>
        <v>210</v>
      </c>
      <c r="C215" s="30">
        <f>'Critérios de Seleção de Fornece'!C215</f>
        <v>0</v>
      </c>
      <c r="D215" s="30">
        <f>'Critérios de Seleção de Fornece'!H215</f>
        <v>0</v>
      </c>
      <c r="E215" s="30">
        <f>'Critérios de Seleção de Fornece'!I215</f>
        <v>0</v>
      </c>
      <c r="F215" s="30" t="e">
        <f>'Critérios de Seleção de Fornece'!L215</f>
        <v>#DIV/0!</v>
      </c>
      <c r="G215" s="30" t="e">
        <f>'Critérios de Seleção de Fornece'!O215</f>
        <v>#DIV/0!</v>
      </c>
      <c r="H215" s="30">
        <f>'Critérios de Seleção de Fornece'!Q215</f>
        <v>0</v>
      </c>
      <c r="I215" s="30" t="e">
        <f>'Critérios de Seleção de Fornece'!T215</f>
        <v>#DIV/0!</v>
      </c>
      <c r="J215" s="30" t="e">
        <f>'Critérios de Seleção de Fornece'!W215</f>
        <v>#DIV/0!</v>
      </c>
      <c r="K215" s="31" t="e">
        <f t="shared" si="16"/>
        <v>#DIV/0!</v>
      </c>
      <c r="L215" s="14"/>
      <c r="M215" s="14"/>
      <c r="N215" s="33">
        <f t="shared" si="17"/>
        <v>3</v>
      </c>
      <c r="O215" s="34" t="e">
        <f t="shared" si="18"/>
        <v>#DIV/0!</v>
      </c>
      <c r="P215" s="39" t="e">
        <f t="shared" si="19"/>
        <v>#DIV/0!</v>
      </c>
      <c r="Q215" s="11"/>
    </row>
    <row r="216" spans="2:17" x14ac:dyDescent="0.3">
      <c r="B216" s="30">
        <f>'Critérios de Seleção de Fornece'!B216</f>
        <v>211</v>
      </c>
      <c r="C216" s="30">
        <f>'Critérios de Seleção de Fornece'!C216</f>
        <v>0</v>
      </c>
      <c r="D216" s="30">
        <f>'Critérios de Seleção de Fornece'!H216</f>
        <v>0</v>
      </c>
      <c r="E216" s="30">
        <f>'Critérios de Seleção de Fornece'!I216</f>
        <v>0</v>
      </c>
      <c r="F216" s="30" t="e">
        <f>'Critérios de Seleção de Fornece'!L216</f>
        <v>#DIV/0!</v>
      </c>
      <c r="G216" s="30" t="e">
        <f>'Critérios de Seleção de Fornece'!O216</f>
        <v>#DIV/0!</v>
      </c>
      <c r="H216" s="30">
        <f>'Critérios de Seleção de Fornece'!Q216</f>
        <v>0</v>
      </c>
      <c r="I216" s="30" t="e">
        <f>'Critérios de Seleção de Fornece'!T216</f>
        <v>#DIV/0!</v>
      </c>
      <c r="J216" s="30" t="e">
        <f>'Critérios de Seleção de Fornece'!W216</f>
        <v>#DIV/0!</v>
      </c>
      <c r="K216" s="31" t="e">
        <f t="shared" si="16"/>
        <v>#DIV/0!</v>
      </c>
      <c r="L216" s="14"/>
      <c r="M216" s="14"/>
      <c r="N216" s="33">
        <f t="shared" si="17"/>
        <v>3</v>
      </c>
      <c r="O216" s="34" t="e">
        <f t="shared" si="18"/>
        <v>#DIV/0!</v>
      </c>
      <c r="P216" s="39" t="e">
        <f t="shared" si="19"/>
        <v>#DIV/0!</v>
      </c>
      <c r="Q216" s="11"/>
    </row>
    <row r="217" spans="2:17" x14ac:dyDescent="0.3">
      <c r="B217" s="30">
        <f>'Critérios de Seleção de Fornece'!B217</f>
        <v>212</v>
      </c>
      <c r="C217" s="30">
        <f>'Critérios de Seleção de Fornece'!C217</f>
        <v>0</v>
      </c>
      <c r="D217" s="30">
        <f>'Critérios de Seleção de Fornece'!H217</f>
        <v>0</v>
      </c>
      <c r="E217" s="30">
        <f>'Critérios de Seleção de Fornece'!I217</f>
        <v>0</v>
      </c>
      <c r="F217" s="30" t="e">
        <f>'Critérios de Seleção de Fornece'!L217</f>
        <v>#DIV/0!</v>
      </c>
      <c r="G217" s="30" t="e">
        <f>'Critérios de Seleção de Fornece'!O217</f>
        <v>#DIV/0!</v>
      </c>
      <c r="H217" s="30">
        <f>'Critérios de Seleção de Fornece'!Q217</f>
        <v>0</v>
      </c>
      <c r="I217" s="30" t="e">
        <f>'Critérios de Seleção de Fornece'!T217</f>
        <v>#DIV/0!</v>
      </c>
      <c r="J217" s="30" t="e">
        <f>'Critérios de Seleção de Fornece'!W217</f>
        <v>#DIV/0!</v>
      </c>
      <c r="K217" s="31" t="e">
        <f t="shared" si="16"/>
        <v>#DIV/0!</v>
      </c>
      <c r="L217" s="14"/>
      <c r="M217" s="14"/>
      <c r="N217" s="33">
        <f t="shared" si="17"/>
        <v>3</v>
      </c>
      <c r="O217" s="34" t="e">
        <f t="shared" si="18"/>
        <v>#DIV/0!</v>
      </c>
      <c r="P217" s="39" t="e">
        <f t="shared" si="19"/>
        <v>#DIV/0!</v>
      </c>
      <c r="Q217" s="11"/>
    </row>
    <row r="218" spans="2:17" x14ac:dyDescent="0.3">
      <c r="B218" s="30">
        <f>'Critérios de Seleção de Fornece'!B218</f>
        <v>213</v>
      </c>
      <c r="C218" s="30">
        <f>'Critérios de Seleção de Fornece'!C218</f>
        <v>0</v>
      </c>
      <c r="D218" s="30">
        <f>'Critérios de Seleção de Fornece'!H218</f>
        <v>0</v>
      </c>
      <c r="E218" s="30">
        <f>'Critérios de Seleção de Fornece'!I218</f>
        <v>0</v>
      </c>
      <c r="F218" s="30" t="e">
        <f>'Critérios de Seleção de Fornece'!L218</f>
        <v>#DIV/0!</v>
      </c>
      <c r="G218" s="30" t="e">
        <f>'Critérios de Seleção de Fornece'!O218</f>
        <v>#DIV/0!</v>
      </c>
      <c r="H218" s="30">
        <f>'Critérios de Seleção de Fornece'!Q218</f>
        <v>0</v>
      </c>
      <c r="I218" s="30" t="e">
        <f>'Critérios de Seleção de Fornece'!T218</f>
        <v>#DIV/0!</v>
      </c>
      <c r="J218" s="30" t="e">
        <f>'Critérios de Seleção de Fornece'!W218</f>
        <v>#DIV/0!</v>
      </c>
      <c r="K218" s="31" t="e">
        <f t="shared" si="16"/>
        <v>#DIV/0!</v>
      </c>
      <c r="L218" s="14"/>
      <c r="M218" s="14"/>
      <c r="N218" s="33">
        <f t="shared" si="17"/>
        <v>3</v>
      </c>
      <c r="O218" s="34" t="e">
        <f t="shared" si="18"/>
        <v>#DIV/0!</v>
      </c>
      <c r="P218" s="39" t="e">
        <f t="shared" si="19"/>
        <v>#DIV/0!</v>
      </c>
      <c r="Q218" s="11"/>
    </row>
    <row r="219" spans="2:17" x14ac:dyDescent="0.3">
      <c r="B219" s="30">
        <f>'Critérios de Seleção de Fornece'!B219</f>
        <v>214</v>
      </c>
      <c r="C219" s="30">
        <f>'Critérios de Seleção de Fornece'!C219</f>
        <v>0</v>
      </c>
      <c r="D219" s="30">
        <f>'Critérios de Seleção de Fornece'!H219</f>
        <v>0</v>
      </c>
      <c r="E219" s="30">
        <f>'Critérios de Seleção de Fornece'!I219</f>
        <v>0</v>
      </c>
      <c r="F219" s="30" t="e">
        <f>'Critérios de Seleção de Fornece'!L219</f>
        <v>#DIV/0!</v>
      </c>
      <c r="G219" s="30" t="e">
        <f>'Critérios de Seleção de Fornece'!O219</f>
        <v>#DIV/0!</v>
      </c>
      <c r="H219" s="30">
        <f>'Critérios de Seleção de Fornece'!Q219</f>
        <v>0</v>
      </c>
      <c r="I219" s="30" t="e">
        <f>'Critérios de Seleção de Fornece'!T219</f>
        <v>#DIV/0!</v>
      </c>
      <c r="J219" s="30" t="e">
        <f>'Critérios de Seleção de Fornece'!W219</f>
        <v>#DIV/0!</v>
      </c>
      <c r="K219" s="31" t="e">
        <f t="shared" si="16"/>
        <v>#DIV/0!</v>
      </c>
      <c r="L219" s="14"/>
      <c r="M219" s="14"/>
      <c r="N219" s="33">
        <f t="shared" si="17"/>
        <v>3</v>
      </c>
      <c r="O219" s="34" t="e">
        <f t="shared" si="18"/>
        <v>#DIV/0!</v>
      </c>
      <c r="P219" s="39" t="e">
        <f t="shared" si="19"/>
        <v>#DIV/0!</v>
      </c>
      <c r="Q219" s="11"/>
    </row>
    <row r="220" spans="2:17" x14ac:dyDescent="0.3">
      <c r="B220" s="30">
        <f>'Critérios de Seleção de Fornece'!B220</f>
        <v>215</v>
      </c>
      <c r="C220" s="30">
        <f>'Critérios de Seleção de Fornece'!C220</f>
        <v>0</v>
      </c>
      <c r="D220" s="30">
        <f>'Critérios de Seleção de Fornece'!H220</f>
        <v>0</v>
      </c>
      <c r="E220" s="30">
        <f>'Critérios de Seleção de Fornece'!I220</f>
        <v>0</v>
      </c>
      <c r="F220" s="30" t="e">
        <f>'Critérios de Seleção de Fornece'!L220</f>
        <v>#DIV/0!</v>
      </c>
      <c r="G220" s="30" t="e">
        <f>'Critérios de Seleção de Fornece'!O220</f>
        <v>#DIV/0!</v>
      </c>
      <c r="H220" s="30">
        <f>'Critérios de Seleção de Fornece'!Q220</f>
        <v>0</v>
      </c>
      <c r="I220" s="30" t="e">
        <f>'Critérios de Seleção de Fornece'!T220</f>
        <v>#DIV/0!</v>
      </c>
      <c r="J220" s="30" t="e">
        <f>'Critérios de Seleção de Fornece'!W220</f>
        <v>#DIV/0!</v>
      </c>
      <c r="K220" s="31" t="e">
        <f t="shared" si="16"/>
        <v>#DIV/0!</v>
      </c>
      <c r="L220" s="14"/>
      <c r="M220" s="14"/>
      <c r="N220" s="33">
        <f t="shared" si="17"/>
        <v>3</v>
      </c>
      <c r="O220" s="34" t="e">
        <f t="shared" si="18"/>
        <v>#DIV/0!</v>
      </c>
      <c r="P220" s="39" t="e">
        <f t="shared" si="19"/>
        <v>#DIV/0!</v>
      </c>
      <c r="Q220" s="11"/>
    </row>
    <row r="221" spans="2:17" x14ac:dyDescent="0.3">
      <c r="B221" s="30">
        <f>'Critérios de Seleção de Fornece'!B221</f>
        <v>216</v>
      </c>
      <c r="C221" s="30">
        <f>'Critérios de Seleção de Fornece'!C221</f>
        <v>0</v>
      </c>
      <c r="D221" s="30">
        <f>'Critérios de Seleção de Fornece'!H221</f>
        <v>0</v>
      </c>
      <c r="E221" s="30">
        <f>'Critérios de Seleção de Fornece'!I221</f>
        <v>0</v>
      </c>
      <c r="F221" s="30" t="e">
        <f>'Critérios de Seleção de Fornece'!L221</f>
        <v>#DIV/0!</v>
      </c>
      <c r="G221" s="30" t="e">
        <f>'Critérios de Seleção de Fornece'!O221</f>
        <v>#DIV/0!</v>
      </c>
      <c r="H221" s="30">
        <f>'Critérios de Seleção de Fornece'!Q221</f>
        <v>0</v>
      </c>
      <c r="I221" s="30" t="e">
        <f>'Critérios de Seleção de Fornece'!T221</f>
        <v>#DIV/0!</v>
      </c>
      <c r="J221" s="30" t="e">
        <f>'Critérios de Seleção de Fornece'!W221</f>
        <v>#DIV/0!</v>
      </c>
      <c r="K221" s="31" t="e">
        <f t="shared" si="16"/>
        <v>#DIV/0!</v>
      </c>
      <c r="L221" s="14"/>
      <c r="M221" s="14"/>
      <c r="N221" s="33">
        <f t="shared" si="17"/>
        <v>3</v>
      </c>
      <c r="O221" s="34" t="e">
        <f t="shared" si="18"/>
        <v>#DIV/0!</v>
      </c>
      <c r="P221" s="39" t="e">
        <f t="shared" si="19"/>
        <v>#DIV/0!</v>
      </c>
      <c r="Q221" s="11"/>
    </row>
    <row r="222" spans="2:17" x14ac:dyDescent="0.3">
      <c r="B222" s="30">
        <f>'Critérios de Seleção de Fornece'!B222</f>
        <v>217</v>
      </c>
      <c r="C222" s="30">
        <f>'Critérios de Seleção de Fornece'!C222</f>
        <v>0</v>
      </c>
      <c r="D222" s="30">
        <f>'Critérios de Seleção de Fornece'!H222</f>
        <v>0</v>
      </c>
      <c r="E222" s="30">
        <f>'Critérios de Seleção de Fornece'!I222</f>
        <v>0</v>
      </c>
      <c r="F222" s="30" t="e">
        <f>'Critérios de Seleção de Fornece'!L222</f>
        <v>#DIV/0!</v>
      </c>
      <c r="G222" s="30" t="e">
        <f>'Critérios de Seleção de Fornece'!O222</f>
        <v>#DIV/0!</v>
      </c>
      <c r="H222" s="30">
        <f>'Critérios de Seleção de Fornece'!Q222</f>
        <v>0</v>
      </c>
      <c r="I222" s="30" t="e">
        <f>'Critérios de Seleção de Fornece'!T222</f>
        <v>#DIV/0!</v>
      </c>
      <c r="J222" s="30" t="e">
        <f>'Critérios de Seleção de Fornece'!W222</f>
        <v>#DIV/0!</v>
      </c>
      <c r="K222" s="31" t="e">
        <f t="shared" si="16"/>
        <v>#DIV/0!</v>
      </c>
      <c r="L222" s="14"/>
      <c r="M222" s="14"/>
      <c r="N222" s="33">
        <f t="shared" si="17"/>
        <v>3</v>
      </c>
      <c r="O222" s="34" t="e">
        <f t="shared" si="18"/>
        <v>#DIV/0!</v>
      </c>
      <c r="P222" s="39" t="e">
        <f t="shared" si="19"/>
        <v>#DIV/0!</v>
      </c>
      <c r="Q222" s="11"/>
    </row>
    <row r="223" spans="2:17" x14ac:dyDescent="0.3">
      <c r="B223" s="30">
        <f>'Critérios de Seleção de Fornece'!B223</f>
        <v>218</v>
      </c>
      <c r="C223" s="30">
        <f>'Critérios de Seleção de Fornece'!C223</f>
        <v>0</v>
      </c>
      <c r="D223" s="30">
        <f>'Critérios de Seleção de Fornece'!H223</f>
        <v>0</v>
      </c>
      <c r="E223" s="30">
        <f>'Critérios de Seleção de Fornece'!I223</f>
        <v>0</v>
      </c>
      <c r="F223" s="30" t="e">
        <f>'Critérios de Seleção de Fornece'!L223</f>
        <v>#DIV/0!</v>
      </c>
      <c r="G223" s="30" t="e">
        <f>'Critérios de Seleção de Fornece'!O223</f>
        <v>#DIV/0!</v>
      </c>
      <c r="H223" s="30">
        <f>'Critérios de Seleção de Fornece'!Q223</f>
        <v>0</v>
      </c>
      <c r="I223" s="30" t="e">
        <f>'Critérios de Seleção de Fornece'!T223</f>
        <v>#DIV/0!</v>
      </c>
      <c r="J223" s="30" t="e">
        <f>'Critérios de Seleção de Fornece'!W223</f>
        <v>#DIV/0!</v>
      </c>
      <c r="K223" s="31" t="e">
        <f t="shared" si="16"/>
        <v>#DIV/0!</v>
      </c>
      <c r="L223" s="14"/>
      <c r="M223" s="14"/>
      <c r="N223" s="33">
        <f t="shared" si="17"/>
        <v>3</v>
      </c>
      <c r="O223" s="34" t="e">
        <f t="shared" si="18"/>
        <v>#DIV/0!</v>
      </c>
      <c r="P223" s="39" t="e">
        <f t="shared" si="19"/>
        <v>#DIV/0!</v>
      </c>
      <c r="Q223" s="11"/>
    </row>
    <row r="224" spans="2:17" x14ac:dyDescent="0.3">
      <c r="B224" s="30">
        <f>'Critérios de Seleção de Fornece'!B224</f>
        <v>219</v>
      </c>
      <c r="C224" s="30">
        <f>'Critérios de Seleção de Fornece'!C224</f>
        <v>0</v>
      </c>
      <c r="D224" s="30">
        <f>'Critérios de Seleção de Fornece'!H224</f>
        <v>0</v>
      </c>
      <c r="E224" s="30">
        <f>'Critérios de Seleção de Fornece'!I224</f>
        <v>0</v>
      </c>
      <c r="F224" s="30" t="e">
        <f>'Critérios de Seleção de Fornece'!L224</f>
        <v>#DIV/0!</v>
      </c>
      <c r="G224" s="30" t="e">
        <f>'Critérios de Seleção de Fornece'!O224</f>
        <v>#DIV/0!</v>
      </c>
      <c r="H224" s="30">
        <f>'Critérios de Seleção de Fornece'!Q224</f>
        <v>0</v>
      </c>
      <c r="I224" s="30" t="e">
        <f>'Critérios de Seleção de Fornece'!T224</f>
        <v>#DIV/0!</v>
      </c>
      <c r="J224" s="30" t="e">
        <f>'Critérios de Seleção de Fornece'!W224</f>
        <v>#DIV/0!</v>
      </c>
      <c r="K224" s="31" t="e">
        <f t="shared" si="16"/>
        <v>#DIV/0!</v>
      </c>
      <c r="L224" s="14"/>
      <c r="M224" s="14"/>
      <c r="N224" s="33">
        <f t="shared" si="17"/>
        <v>3</v>
      </c>
      <c r="O224" s="34" t="e">
        <f t="shared" si="18"/>
        <v>#DIV/0!</v>
      </c>
      <c r="P224" s="39" t="e">
        <f t="shared" si="19"/>
        <v>#DIV/0!</v>
      </c>
      <c r="Q224" s="11"/>
    </row>
    <row r="225" spans="2:17" x14ac:dyDescent="0.3">
      <c r="B225" s="30">
        <f>'Critérios de Seleção de Fornece'!B225</f>
        <v>220</v>
      </c>
      <c r="C225" s="30">
        <f>'Critérios de Seleção de Fornece'!C225</f>
        <v>0</v>
      </c>
      <c r="D225" s="30">
        <f>'Critérios de Seleção de Fornece'!H225</f>
        <v>0</v>
      </c>
      <c r="E225" s="30">
        <f>'Critérios de Seleção de Fornece'!I225</f>
        <v>0</v>
      </c>
      <c r="F225" s="30" t="e">
        <f>'Critérios de Seleção de Fornece'!L225</f>
        <v>#DIV/0!</v>
      </c>
      <c r="G225" s="30" t="e">
        <f>'Critérios de Seleção de Fornece'!O225</f>
        <v>#DIV/0!</v>
      </c>
      <c r="H225" s="30">
        <f>'Critérios de Seleção de Fornece'!Q225</f>
        <v>0</v>
      </c>
      <c r="I225" s="30" t="e">
        <f>'Critérios de Seleção de Fornece'!T225</f>
        <v>#DIV/0!</v>
      </c>
      <c r="J225" s="30" t="e">
        <f>'Critérios de Seleção de Fornece'!W225</f>
        <v>#DIV/0!</v>
      </c>
      <c r="K225" s="31" t="e">
        <f t="shared" si="16"/>
        <v>#DIV/0!</v>
      </c>
      <c r="L225" s="14"/>
      <c r="M225" s="14"/>
      <c r="N225" s="33">
        <f t="shared" si="17"/>
        <v>3</v>
      </c>
      <c r="O225" s="34" t="e">
        <f t="shared" si="18"/>
        <v>#DIV/0!</v>
      </c>
      <c r="P225" s="39" t="e">
        <f t="shared" si="19"/>
        <v>#DIV/0!</v>
      </c>
      <c r="Q225" s="11"/>
    </row>
    <row r="226" spans="2:17" x14ac:dyDescent="0.3">
      <c r="B226" s="30">
        <f>'Critérios de Seleção de Fornece'!B226</f>
        <v>221</v>
      </c>
      <c r="C226" s="30">
        <f>'Critérios de Seleção de Fornece'!C226</f>
        <v>0</v>
      </c>
      <c r="D226" s="30">
        <f>'Critérios de Seleção de Fornece'!H226</f>
        <v>0</v>
      </c>
      <c r="E226" s="30">
        <f>'Critérios de Seleção de Fornece'!I226</f>
        <v>0</v>
      </c>
      <c r="F226" s="30" t="e">
        <f>'Critérios de Seleção de Fornece'!L226</f>
        <v>#DIV/0!</v>
      </c>
      <c r="G226" s="30" t="e">
        <f>'Critérios de Seleção de Fornece'!O226</f>
        <v>#DIV/0!</v>
      </c>
      <c r="H226" s="30">
        <f>'Critérios de Seleção de Fornece'!Q226</f>
        <v>0</v>
      </c>
      <c r="I226" s="30" t="e">
        <f>'Critérios de Seleção de Fornece'!T226</f>
        <v>#DIV/0!</v>
      </c>
      <c r="J226" s="30" t="e">
        <f>'Critérios de Seleção de Fornece'!W226</f>
        <v>#DIV/0!</v>
      </c>
      <c r="K226" s="31" t="e">
        <f t="shared" si="16"/>
        <v>#DIV/0!</v>
      </c>
      <c r="L226" s="14"/>
      <c r="M226" s="14"/>
      <c r="N226" s="33">
        <f t="shared" si="17"/>
        <v>3</v>
      </c>
      <c r="O226" s="34" t="e">
        <f t="shared" si="18"/>
        <v>#DIV/0!</v>
      </c>
      <c r="P226" s="39" t="e">
        <f t="shared" si="19"/>
        <v>#DIV/0!</v>
      </c>
      <c r="Q226" s="11"/>
    </row>
    <row r="227" spans="2:17" x14ac:dyDescent="0.3">
      <c r="B227" s="30">
        <f>'Critérios de Seleção de Fornece'!B227</f>
        <v>222</v>
      </c>
      <c r="C227" s="30">
        <f>'Critérios de Seleção de Fornece'!C227</f>
        <v>0</v>
      </c>
      <c r="D227" s="30">
        <f>'Critérios de Seleção de Fornece'!H227</f>
        <v>0</v>
      </c>
      <c r="E227" s="30">
        <f>'Critérios de Seleção de Fornece'!I227</f>
        <v>0</v>
      </c>
      <c r="F227" s="30" t="e">
        <f>'Critérios de Seleção de Fornece'!L227</f>
        <v>#DIV/0!</v>
      </c>
      <c r="G227" s="30" t="e">
        <f>'Critérios de Seleção de Fornece'!O227</f>
        <v>#DIV/0!</v>
      </c>
      <c r="H227" s="30">
        <f>'Critérios de Seleção de Fornece'!Q227</f>
        <v>0</v>
      </c>
      <c r="I227" s="30" t="e">
        <f>'Critérios de Seleção de Fornece'!T227</f>
        <v>#DIV/0!</v>
      </c>
      <c r="J227" s="30" t="e">
        <f>'Critérios de Seleção de Fornece'!W227</f>
        <v>#DIV/0!</v>
      </c>
      <c r="K227" s="31" t="e">
        <f t="shared" si="16"/>
        <v>#DIV/0!</v>
      </c>
      <c r="L227" s="14"/>
      <c r="M227" s="14"/>
      <c r="N227" s="33">
        <f t="shared" si="17"/>
        <v>3</v>
      </c>
      <c r="O227" s="34" t="e">
        <f t="shared" si="18"/>
        <v>#DIV/0!</v>
      </c>
      <c r="P227" s="39" t="e">
        <f t="shared" si="19"/>
        <v>#DIV/0!</v>
      </c>
      <c r="Q227" s="11"/>
    </row>
    <row r="228" spans="2:17" x14ac:dyDescent="0.3">
      <c r="B228" s="30">
        <f>'Critérios de Seleção de Fornece'!B228</f>
        <v>223</v>
      </c>
      <c r="C228" s="30">
        <f>'Critérios de Seleção de Fornece'!C228</f>
        <v>0</v>
      </c>
      <c r="D228" s="30">
        <f>'Critérios de Seleção de Fornece'!H228</f>
        <v>0</v>
      </c>
      <c r="E228" s="30">
        <f>'Critérios de Seleção de Fornece'!I228</f>
        <v>0</v>
      </c>
      <c r="F228" s="30" t="e">
        <f>'Critérios de Seleção de Fornece'!L228</f>
        <v>#DIV/0!</v>
      </c>
      <c r="G228" s="30" t="e">
        <f>'Critérios de Seleção de Fornece'!O228</f>
        <v>#DIV/0!</v>
      </c>
      <c r="H228" s="30">
        <f>'Critérios de Seleção de Fornece'!Q228</f>
        <v>0</v>
      </c>
      <c r="I228" s="30" t="e">
        <f>'Critérios de Seleção de Fornece'!T228</f>
        <v>#DIV/0!</v>
      </c>
      <c r="J228" s="30" t="e">
        <f>'Critérios de Seleção de Fornece'!W228</f>
        <v>#DIV/0!</v>
      </c>
      <c r="K228" s="31" t="e">
        <f t="shared" si="16"/>
        <v>#DIV/0!</v>
      </c>
      <c r="L228" s="14"/>
      <c r="M228" s="14"/>
      <c r="N228" s="33">
        <f t="shared" si="17"/>
        <v>3</v>
      </c>
      <c r="O228" s="34" t="e">
        <f t="shared" si="18"/>
        <v>#DIV/0!</v>
      </c>
      <c r="P228" s="39" t="e">
        <f t="shared" si="19"/>
        <v>#DIV/0!</v>
      </c>
      <c r="Q228" s="11"/>
    </row>
    <row r="229" spans="2:17" x14ac:dyDescent="0.3">
      <c r="B229" s="30">
        <f>'Critérios de Seleção de Fornece'!B229</f>
        <v>224</v>
      </c>
      <c r="C229" s="30">
        <f>'Critérios de Seleção de Fornece'!C229</f>
        <v>0</v>
      </c>
      <c r="D229" s="30">
        <f>'Critérios de Seleção de Fornece'!H229</f>
        <v>0</v>
      </c>
      <c r="E229" s="30">
        <f>'Critérios de Seleção de Fornece'!I229</f>
        <v>0</v>
      </c>
      <c r="F229" s="30" t="e">
        <f>'Critérios de Seleção de Fornece'!L229</f>
        <v>#DIV/0!</v>
      </c>
      <c r="G229" s="30" t="e">
        <f>'Critérios de Seleção de Fornece'!O229</f>
        <v>#DIV/0!</v>
      </c>
      <c r="H229" s="30">
        <f>'Critérios de Seleção de Fornece'!Q229</f>
        <v>0</v>
      </c>
      <c r="I229" s="30" t="e">
        <f>'Critérios de Seleção de Fornece'!T229</f>
        <v>#DIV/0!</v>
      </c>
      <c r="J229" s="30" t="e">
        <f>'Critérios de Seleção de Fornece'!W229</f>
        <v>#DIV/0!</v>
      </c>
      <c r="K229" s="31" t="e">
        <f t="shared" si="16"/>
        <v>#DIV/0!</v>
      </c>
      <c r="L229" s="14"/>
      <c r="M229" s="14"/>
      <c r="N229" s="33">
        <f t="shared" si="17"/>
        <v>3</v>
      </c>
      <c r="O229" s="34" t="e">
        <f t="shared" si="18"/>
        <v>#DIV/0!</v>
      </c>
      <c r="P229" s="39" t="e">
        <f t="shared" si="19"/>
        <v>#DIV/0!</v>
      </c>
      <c r="Q229" s="11"/>
    </row>
    <row r="230" spans="2:17" x14ac:dyDescent="0.3">
      <c r="B230" s="30">
        <f>'Critérios de Seleção de Fornece'!B230</f>
        <v>225</v>
      </c>
      <c r="C230" s="30">
        <f>'Critérios de Seleção de Fornece'!C230</f>
        <v>0</v>
      </c>
      <c r="D230" s="30">
        <f>'Critérios de Seleção de Fornece'!H230</f>
        <v>0</v>
      </c>
      <c r="E230" s="30">
        <f>'Critérios de Seleção de Fornece'!I230</f>
        <v>0</v>
      </c>
      <c r="F230" s="30" t="e">
        <f>'Critérios de Seleção de Fornece'!L230</f>
        <v>#DIV/0!</v>
      </c>
      <c r="G230" s="30" t="e">
        <f>'Critérios de Seleção de Fornece'!O230</f>
        <v>#DIV/0!</v>
      </c>
      <c r="H230" s="30">
        <f>'Critérios de Seleção de Fornece'!Q230</f>
        <v>0</v>
      </c>
      <c r="I230" s="30" t="e">
        <f>'Critérios de Seleção de Fornece'!T230</f>
        <v>#DIV/0!</v>
      </c>
      <c r="J230" s="30" t="e">
        <f>'Critérios de Seleção de Fornece'!W230</f>
        <v>#DIV/0!</v>
      </c>
      <c r="K230" s="31" t="e">
        <f t="shared" si="16"/>
        <v>#DIV/0!</v>
      </c>
      <c r="L230" s="14"/>
      <c r="M230" s="14"/>
      <c r="N230" s="33">
        <f t="shared" si="17"/>
        <v>3</v>
      </c>
      <c r="O230" s="34" t="e">
        <f t="shared" si="18"/>
        <v>#DIV/0!</v>
      </c>
      <c r="P230" s="39" t="e">
        <f t="shared" si="19"/>
        <v>#DIV/0!</v>
      </c>
      <c r="Q230" s="11"/>
    </row>
    <row r="231" spans="2:17" x14ac:dyDescent="0.3">
      <c r="B231" s="30">
        <f>'Critérios de Seleção de Fornece'!B231</f>
        <v>226</v>
      </c>
      <c r="C231" s="30">
        <f>'Critérios de Seleção de Fornece'!C231</f>
        <v>0</v>
      </c>
      <c r="D231" s="30">
        <f>'Critérios de Seleção de Fornece'!H231</f>
        <v>0</v>
      </c>
      <c r="E231" s="30">
        <f>'Critérios de Seleção de Fornece'!I231</f>
        <v>0</v>
      </c>
      <c r="F231" s="30" t="e">
        <f>'Critérios de Seleção de Fornece'!L231</f>
        <v>#DIV/0!</v>
      </c>
      <c r="G231" s="30" t="e">
        <f>'Critérios de Seleção de Fornece'!O231</f>
        <v>#DIV/0!</v>
      </c>
      <c r="H231" s="30">
        <f>'Critérios de Seleção de Fornece'!Q231</f>
        <v>0</v>
      </c>
      <c r="I231" s="30" t="e">
        <f>'Critérios de Seleção de Fornece'!T231</f>
        <v>#DIV/0!</v>
      </c>
      <c r="J231" s="30" t="e">
        <f>'Critérios de Seleção de Fornece'!W231</f>
        <v>#DIV/0!</v>
      </c>
      <c r="K231" s="31" t="e">
        <f t="shared" si="16"/>
        <v>#DIV/0!</v>
      </c>
      <c r="L231" s="14"/>
      <c r="M231" s="14"/>
      <c r="N231" s="33">
        <f t="shared" si="17"/>
        <v>3</v>
      </c>
      <c r="O231" s="34" t="e">
        <f t="shared" si="18"/>
        <v>#DIV/0!</v>
      </c>
      <c r="P231" s="39" t="e">
        <f t="shared" si="19"/>
        <v>#DIV/0!</v>
      </c>
      <c r="Q231" s="11"/>
    </row>
    <row r="232" spans="2:17" x14ac:dyDescent="0.3">
      <c r="B232" s="30">
        <f>'Critérios de Seleção de Fornece'!B232</f>
        <v>227</v>
      </c>
      <c r="C232" s="30">
        <f>'Critérios de Seleção de Fornece'!C232</f>
        <v>0</v>
      </c>
      <c r="D232" s="30">
        <f>'Critérios de Seleção de Fornece'!H232</f>
        <v>0</v>
      </c>
      <c r="E232" s="30">
        <f>'Critérios de Seleção de Fornece'!I232</f>
        <v>0</v>
      </c>
      <c r="F232" s="30" t="e">
        <f>'Critérios de Seleção de Fornece'!L232</f>
        <v>#DIV/0!</v>
      </c>
      <c r="G232" s="30" t="e">
        <f>'Critérios de Seleção de Fornece'!O232</f>
        <v>#DIV/0!</v>
      </c>
      <c r="H232" s="30">
        <f>'Critérios de Seleção de Fornece'!Q232</f>
        <v>0</v>
      </c>
      <c r="I232" s="30" t="e">
        <f>'Critérios de Seleção de Fornece'!T232</f>
        <v>#DIV/0!</v>
      </c>
      <c r="J232" s="30" t="e">
        <f>'Critérios de Seleção de Fornece'!W232</f>
        <v>#DIV/0!</v>
      </c>
      <c r="K232" s="31" t="e">
        <f t="shared" si="16"/>
        <v>#DIV/0!</v>
      </c>
      <c r="L232" s="14"/>
      <c r="M232" s="14"/>
      <c r="N232" s="33">
        <f t="shared" si="17"/>
        <v>3</v>
      </c>
      <c r="O232" s="34" t="e">
        <f t="shared" si="18"/>
        <v>#DIV/0!</v>
      </c>
      <c r="P232" s="39" t="e">
        <f t="shared" si="19"/>
        <v>#DIV/0!</v>
      </c>
      <c r="Q232" s="11"/>
    </row>
    <row r="233" spans="2:17" x14ac:dyDescent="0.3">
      <c r="B233" s="30">
        <f>'Critérios de Seleção de Fornece'!B233</f>
        <v>228</v>
      </c>
      <c r="C233" s="30">
        <f>'Critérios de Seleção de Fornece'!C233</f>
        <v>0</v>
      </c>
      <c r="D233" s="30">
        <f>'Critérios de Seleção de Fornece'!H233</f>
        <v>0</v>
      </c>
      <c r="E233" s="30">
        <f>'Critérios de Seleção de Fornece'!I233</f>
        <v>0</v>
      </c>
      <c r="F233" s="30" t="e">
        <f>'Critérios de Seleção de Fornece'!L233</f>
        <v>#DIV/0!</v>
      </c>
      <c r="G233" s="30" t="e">
        <f>'Critérios de Seleção de Fornece'!O233</f>
        <v>#DIV/0!</v>
      </c>
      <c r="H233" s="30">
        <f>'Critérios de Seleção de Fornece'!Q233</f>
        <v>0</v>
      </c>
      <c r="I233" s="30" t="e">
        <f>'Critérios de Seleção de Fornece'!T233</f>
        <v>#DIV/0!</v>
      </c>
      <c r="J233" s="30" t="e">
        <f>'Critérios de Seleção de Fornece'!W233</f>
        <v>#DIV/0!</v>
      </c>
      <c r="K233" s="31" t="e">
        <f t="shared" si="16"/>
        <v>#DIV/0!</v>
      </c>
      <c r="L233" s="14"/>
      <c r="M233" s="14"/>
      <c r="N233" s="33">
        <f t="shared" si="17"/>
        <v>3</v>
      </c>
      <c r="O233" s="34" t="e">
        <f t="shared" si="18"/>
        <v>#DIV/0!</v>
      </c>
      <c r="P233" s="39" t="e">
        <f t="shared" si="19"/>
        <v>#DIV/0!</v>
      </c>
      <c r="Q233" s="11"/>
    </row>
    <row r="234" spans="2:17" x14ac:dyDescent="0.3">
      <c r="B234" s="30">
        <f>'Critérios de Seleção de Fornece'!B234</f>
        <v>229</v>
      </c>
      <c r="C234" s="30">
        <f>'Critérios de Seleção de Fornece'!C234</f>
        <v>0</v>
      </c>
      <c r="D234" s="30">
        <f>'Critérios de Seleção de Fornece'!H234</f>
        <v>0</v>
      </c>
      <c r="E234" s="30">
        <f>'Critérios de Seleção de Fornece'!I234</f>
        <v>0</v>
      </c>
      <c r="F234" s="30" t="e">
        <f>'Critérios de Seleção de Fornece'!L234</f>
        <v>#DIV/0!</v>
      </c>
      <c r="G234" s="30" t="e">
        <f>'Critérios de Seleção de Fornece'!O234</f>
        <v>#DIV/0!</v>
      </c>
      <c r="H234" s="30">
        <f>'Critérios de Seleção de Fornece'!Q234</f>
        <v>0</v>
      </c>
      <c r="I234" s="30" t="e">
        <f>'Critérios de Seleção de Fornece'!T234</f>
        <v>#DIV/0!</v>
      </c>
      <c r="J234" s="30" t="e">
        <f>'Critérios de Seleção de Fornece'!W234</f>
        <v>#DIV/0!</v>
      </c>
      <c r="K234" s="31" t="e">
        <f t="shared" si="16"/>
        <v>#DIV/0!</v>
      </c>
      <c r="L234" s="14"/>
      <c r="M234" s="14"/>
      <c r="N234" s="33">
        <f t="shared" si="17"/>
        <v>3</v>
      </c>
      <c r="O234" s="34" t="e">
        <f t="shared" si="18"/>
        <v>#DIV/0!</v>
      </c>
      <c r="P234" s="39" t="e">
        <f t="shared" si="19"/>
        <v>#DIV/0!</v>
      </c>
      <c r="Q234" s="11"/>
    </row>
    <row r="235" spans="2:17" x14ac:dyDescent="0.3">
      <c r="B235" s="30">
        <f>'Critérios de Seleção de Fornece'!B235</f>
        <v>230</v>
      </c>
      <c r="C235" s="30">
        <f>'Critérios de Seleção de Fornece'!C235</f>
        <v>0</v>
      </c>
      <c r="D235" s="30">
        <f>'Critérios de Seleção de Fornece'!H235</f>
        <v>0</v>
      </c>
      <c r="E235" s="30">
        <f>'Critérios de Seleção de Fornece'!I235</f>
        <v>0</v>
      </c>
      <c r="F235" s="30" t="e">
        <f>'Critérios de Seleção de Fornece'!L235</f>
        <v>#DIV/0!</v>
      </c>
      <c r="G235" s="30" t="e">
        <f>'Critérios de Seleção de Fornece'!O235</f>
        <v>#DIV/0!</v>
      </c>
      <c r="H235" s="30">
        <f>'Critérios de Seleção de Fornece'!Q235</f>
        <v>0</v>
      </c>
      <c r="I235" s="30" t="e">
        <f>'Critérios de Seleção de Fornece'!T235</f>
        <v>#DIV/0!</v>
      </c>
      <c r="J235" s="30" t="e">
        <f>'Critérios de Seleção de Fornece'!W235</f>
        <v>#DIV/0!</v>
      </c>
      <c r="K235" s="31" t="e">
        <f t="shared" ref="K235:K298" si="20">AVERAGE(D235:J235)</f>
        <v>#DIV/0!</v>
      </c>
      <c r="L235" s="14"/>
      <c r="M235" s="14"/>
      <c r="N235" s="33">
        <f t="shared" ref="N235:N298" si="21">IF(M235&gt;L235,1,IF(M235=L235,3,5))</f>
        <v>3</v>
      </c>
      <c r="O235" s="34" t="e">
        <f t="shared" ref="O235:O298" si="22">((5-K235)/4) + ((N235-3)/20)</f>
        <v>#DIV/0!</v>
      </c>
      <c r="P235" s="39" t="e">
        <f t="shared" ref="P235:P298" si="23">IF(O235&gt;=0.7,$S$10,IF(O235&gt;=0.5,$S$11,$S$12))</f>
        <v>#DIV/0!</v>
      </c>
      <c r="Q235" s="11"/>
    </row>
    <row r="236" spans="2:17" x14ac:dyDescent="0.3">
      <c r="B236" s="30">
        <f>'Critérios de Seleção de Fornece'!B236</f>
        <v>231</v>
      </c>
      <c r="C236" s="30">
        <f>'Critérios de Seleção de Fornece'!C236</f>
        <v>0</v>
      </c>
      <c r="D236" s="30">
        <f>'Critérios de Seleção de Fornece'!H236</f>
        <v>0</v>
      </c>
      <c r="E236" s="30">
        <f>'Critérios de Seleção de Fornece'!I236</f>
        <v>0</v>
      </c>
      <c r="F236" s="30" t="e">
        <f>'Critérios de Seleção de Fornece'!L236</f>
        <v>#DIV/0!</v>
      </c>
      <c r="G236" s="30" t="e">
        <f>'Critérios de Seleção de Fornece'!O236</f>
        <v>#DIV/0!</v>
      </c>
      <c r="H236" s="30">
        <f>'Critérios de Seleção de Fornece'!Q236</f>
        <v>0</v>
      </c>
      <c r="I236" s="30" t="e">
        <f>'Critérios de Seleção de Fornece'!T236</f>
        <v>#DIV/0!</v>
      </c>
      <c r="J236" s="30" t="e">
        <f>'Critérios de Seleção de Fornece'!W236</f>
        <v>#DIV/0!</v>
      </c>
      <c r="K236" s="31" t="e">
        <f t="shared" si="20"/>
        <v>#DIV/0!</v>
      </c>
      <c r="L236" s="14"/>
      <c r="M236" s="14"/>
      <c r="N236" s="33">
        <f t="shared" si="21"/>
        <v>3</v>
      </c>
      <c r="O236" s="34" t="e">
        <f t="shared" si="22"/>
        <v>#DIV/0!</v>
      </c>
      <c r="P236" s="39" t="e">
        <f t="shared" si="23"/>
        <v>#DIV/0!</v>
      </c>
      <c r="Q236" s="11"/>
    </row>
    <row r="237" spans="2:17" x14ac:dyDescent="0.3">
      <c r="B237" s="30">
        <f>'Critérios de Seleção de Fornece'!B237</f>
        <v>232</v>
      </c>
      <c r="C237" s="30">
        <f>'Critérios de Seleção de Fornece'!C237</f>
        <v>0</v>
      </c>
      <c r="D237" s="30">
        <f>'Critérios de Seleção de Fornece'!H237</f>
        <v>0</v>
      </c>
      <c r="E237" s="30">
        <f>'Critérios de Seleção de Fornece'!I237</f>
        <v>0</v>
      </c>
      <c r="F237" s="30" t="e">
        <f>'Critérios de Seleção de Fornece'!L237</f>
        <v>#DIV/0!</v>
      </c>
      <c r="G237" s="30" t="e">
        <f>'Critérios de Seleção de Fornece'!O237</f>
        <v>#DIV/0!</v>
      </c>
      <c r="H237" s="30">
        <f>'Critérios de Seleção de Fornece'!Q237</f>
        <v>0</v>
      </c>
      <c r="I237" s="30" t="e">
        <f>'Critérios de Seleção de Fornece'!T237</f>
        <v>#DIV/0!</v>
      </c>
      <c r="J237" s="30" t="e">
        <f>'Critérios de Seleção de Fornece'!W237</f>
        <v>#DIV/0!</v>
      </c>
      <c r="K237" s="31" t="e">
        <f t="shared" si="20"/>
        <v>#DIV/0!</v>
      </c>
      <c r="L237" s="14"/>
      <c r="M237" s="14"/>
      <c r="N237" s="33">
        <f t="shared" si="21"/>
        <v>3</v>
      </c>
      <c r="O237" s="34" t="e">
        <f t="shared" si="22"/>
        <v>#DIV/0!</v>
      </c>
      <c r="P237" s="39" t="e">
        <f t="shared" si="23"/>
        <v>#DIV/0!</v>
      </c>
      <c r="Q237" s="11"/>
    </row>
    <row r="238" spans="2:17" x14ac:dyDescent="0.3">
      <c r="B238" s="30">
        <f>'Critérios de Seleção de Fornece'!B238</f>
        <v>233</v>
      </c>
      <c r="C238" s="30">
        <f>'Critérios de Seleção de Fornece'!C238</f>
        <v>0</v>
      </c>
      <c r="D238" s="30">
        <f>'Critérios de Seleção de Fornece'!H238</f>
        <v>0</v>
      </c>
      <c r="E238" s="30">
        <f>'Critérios de Seleção de Fornece'!I238</f>
        <v>0</v>
      </c>
      <c r="F238" s="30" t="e">
        <f>'Critérios de Seleção de Fornece'!L238</f>
        <v>#DIV/0!</v>
      </c>
      <c r="G238" s="30" t="e">
        <f>'Critérios de Seleção de Fornece'!O238</f>
        <v>#DIV/0!</v>
      </c>
      <c r="H238" s="30">
        <f>'Critérios de Seleção de Fornece'!Q238</f>
        <v>0</v>
      </c>
      <c r="I238" s="30" t="e">
        <f>'Critérios de Seleção de Fornece'!T238</f>
        <v>#DIV/0!</v>
      </c>
      <c r="J238" s="30" t="e">
        <f>'Critérios de Seleção de Fornece'!W238</f>
        <v>#DIV/0!</v>
      </c>
      <c r="K238" s="31" t="e">
        <f t="shared" si="20"/>
        <v>#DIV/0!</v>
      </c>
      <c r="L238" s="14"/>
      <c r="M238" s="14"/>
      <c r="N238" s="33">
        <f t="shared" si="21"/>
        <v>3</v>
      </c>
      <c r="O238" s="34" t="e">
        <f t="shared" si="22"/>
        <v>#DIV/0!</v>
      </c>
      <c r="P238" s="39" t="e">
        <f t="shared" si="23"/>
        <v>#DIV/0!</v>
      </c>
      <c r="Q238" s="11"/>
    </row>
    <row r="239" spans="2:17" x14ac:dyDescent="0.3">
      <c r="B239" s="30">
        <f>'Critérios de Seleção de Fornece'!B239</f>
        <v>234</v>
      </c>
      <c r="C239" s="30">
        <f>'Critérios de Seleção de Fornece'!C239</f>
        <v>0</v>
      </c>
      <c r="D239" s="30">
        <f>'Critérios de Seleção de Fornece'!H239</f>
        <v>0</v>
      </c>
      <c r="E239" s="30">
        <f>'Critérios de Seleção de Fornece'!I239</f>
        <v>0</v>
      </c>
      <c r="F239" s="30" t="e">
        <f>'Critérios de Seleção de Fornece'!L239</f>
        <v>#DIV/0!</v>
      </c>
      <c r="G239" s="30" t="e">
        <f>'Critérios de Seleção de Fornece'!O239</f>
        <v>#DIV/0!</v>
      </c>
      <c r="H239" s="30">
        <f>'Critérios de Seleção de Fornece'!Q239</f>
        <v>0</v>
      </c>
      <c r="I239" s="30" t="e">
        <f>'Critérios de Seleção de Fornece'!T239</f>
        <v>#DIV/0!</v>
      </c>
      <c r="J239" s="30" t="e">
        <f>'Critérios de Seleção de Fornece'!W239</f>
        <v>#DIV/0!</v>
      </c>
      <c r="K239" s="31" t="e">
        <f t="shared" si="20"/>
        <v>#DIV/0!</v>
      </c>
      <c r="L239" s="14"/>
      <c r="M239" s="14"/>
      <c r="N239" s="33">
        <f t="shared" si="21"/>
        <v>3</v>
      </c>
      <c r="O239" s="34" t="e">
        <f t="shared" si="22"/>
        <v>#DIV/0!</v>
      </c>
      <c r="P239" s="39" t="e">
        <f t="shared" si="23"/>
        <v>#DIV/0!</v>
      </c>
      <c r="Q239" s="11"/>
    </row>
    <row r="240" spans="2:17" x14ac:dyDescent="0.3">
      <c r="B240" s="30">
        <f>'Critérios de Seleção de Fornece'!B240</f>
        <v>235</v>
      </c>
      <c r="C240" s="30">
        <f>'Critérios de Seleção de Fornece'!C240</f>
        <v>0</v>
      </c>
      <c r="D240" s="30">
        <f>'Critérios de Seleção de Fornece'!H240</f>
        <v>0</v>
      </c>
      <c r="E240" s="30">
        <f>'Critérios de Seleção de Fornece'!I240</f>
        <v>0</v>
      </c>
      <c r="F240" s="30" t="e">
        <f>'Critérios de Seleção de Fornece'!L240</f>
        <v>#DIV/0!</v>
      </c>
      <c r="G240" s="30" t="e">
        <f>'Critérios de Seleção de Fornece'!O240</f>
        <v>#DIV/0!</v>
      </c>
      <c r="H240" s="30">
        <f>'Critérios de Seleção de Fornece'!Q240</f>
        <v>0</v>
      </c>
      <c r="I240" s="30" t="e">
        <f>'Critérios de Seleção de Fornece'!T240</f>
        <v>#DIV/0!</v>
      </c>
      <c r="J240" s="30" t="e">
        <f>'Critérios de Seleção de Fornece'!W240</f>
        <v>#DIV/0!</v>
      </c>
      <c r="K240" s="31" t="e">
        <f t="shared" si="20"/>
        <v>#DIV/0!</v>
      </c>
      <c r="L240" s="14"/>
      <c r="M240" s="14"/>
      <c r="N240" s="33">
        <f t="shared" si="21"/>
        <v>3</v>
      </c>
      <c r="O240" s="34" t="e">
        <f t="shared" si="22"/>
        <v>#DIV/0!</v>
      </c>
      <c r="P240" s="39" t="e">
        <f t="shared" si="23"/>
        <v>#DIV/0!</v>
      </c>
      <c r="Q240" s="11"/>
    </row>
    <row r="241" spans="2:17" x14ac:dyDescent="0.3">
      <c r="B241" s="30">
        <f>'Critérios de Seleção de Fornece'!B241</f>
        <v>236</v>
      </c>
      <c r="C241" s="30">
        <f>'Critérios de Seleção de Fornece'!C241</f>
        <v>0</v>
      </c>
      <c r="D241" s="30">
        <f>'Critérios de Seleção de Fornece'!H241</f>
        <v>0</v>
      </c>
      <c r="E241" s="30">
        <f>'Critérios de Seleção de Fornece'!I241</f>
        <v>0</v>
      </c>
      <c r="F241" s="30" t="e">
        <f>'Critérios de Seleção de Fornece'!L241</f>
        <v>#DIV/0!</v>
      </c>
      <c r="G241" s="30" t="e">
        <f>'Critérios de Seleção de Fornece'!O241</f>
        <v>#DIV/0!</v>
      </c>
      <c r="H241" s="30">
        <f>'Critérios de Seleção de Fornece'!Q241</f>
        <v>0</v>
      </c>
      <c r="I241" s="30" t="e">
        <f>'Critérios de Seleção de Fornece'!T241</f>
        <v>#DIV/0!</v>
      </c>
      <c r="J241" s="30" t="e">
        <f>'Critérios de Seleção de Fornece'!W241</f>
        <v>#DIV/0!</v>
      </c>
      <c r="K241" s="31" t="e">
        <f t="shared" si="20"/>
        <v>#DIV/0!</v>
      </c>
      <c r="L241" s="14"/>
      <c r="M241" s="14"/>
      <c r="N241" s="33">
        <f t="shared" si="21"/>
        <v>3</v>
      </c>
      <c r="O241" s="34" t="e">
        <f t="shared" si="22"/>
        <v>#DIV/0!</v>
      </c>
      <c r="P241" s="39" t="e">
        <f t="shared" si="23"/>
        <v>#DIV/0!</v>
      </c>
      <c r="Q241" s="11"/>
    </row>
    <row r="242" spans="2:17" x14ac:dyDescent="0.3">
      <c r="B242" s="30">
        <f>'Critérios de Seleção de Fornece'!B242</f>
        <v>237</v>
      </c>
      <c r="C242" s="30">
        <f>'Critérios de Seleção de Fornece'!C242</f>
        <v>0</v>
      </c>
      <c r="D242" s="30">
        <f>'Critérios de Seleção de Fornece'!H242</f>
        <v>0</v>
      </c>
      <c r="E242" s="30">
        <f>'Critérios de Seleção de Fornece'!I242</f>
        <v>0</v>
      </c>
      <c r="F242" s="30" t="e">
        <f>'Critérios de Seleção de Fornece'!L242</f>
        <v>#DIV/0!</v>
      </c>
      <c r="G242" s="30" t="e">
        <f>'Critérios de Seleção de Fornece'!O242</f>
        <v>#DIV/0!</v>
      </c>
      <c r="H242" s="30">
        <f>'Critérios de Seleção de Fornece'!Q242</f>
        <v>0</v>
      </c>
      <c r="I242" s="30" t="e">
        <f>'Critérios de Seleção de Fornece'!T242</f>
        <v>#DIV/0!</v>
      </c>
      <c r="J242" s="30" t="e">
        <f>'Critérios de Seleção de Fornece'!W242</f>
        <v>#DIV/0!</v>
      </c>
      <c r="K242" s="31" t="e">
        <f t="shared" si="20"/>
        <v>#DIV/0!</v>
      </c>
      <c r="L242" s="14"/>
      <c r="M242" s="14"/>
      <c r="N242" s="33">
        <f t="shared" si="21"/>
        <v>3</v>
      </c>
      <c r="O242" s="34" t="e">
        <f t="shared" si="22"/>
        <v>#DIV/0!</v>
      </c>
      <c r="P242" s="39" t="e">
        <f t="shared" si="23"/>
        <v>#DIV/0!</v>
      </c>
      <c r="Q242" s="11"/>
    </row>
    <row r="243" spans="2:17" x14ac:dyDescent="0.3">
      <c r="B243" s="30">
        <f>'Critérios de Seleção de Fornece'!B243</f>
        <v>238</v>
      </c>
      <c r="C243" s="30">
        <f>'Critérios de Seleção de Fornece'!C243</f>
        <v>0</v>
      </c>
      <c r="D243" s="30">
        <f>'Critérios de Seleção de Fornece'!H243</f>
        <v>0</v>
      </c>
      <c r="E243" s="30">
        <f>'Critérios de Seleção de Fornece'!I243</f>
        <v>0</v>
      </c>
      <c r="F243" s="30" t="e">
        <f>'Critérios de Seleção de Fornece'!L243</f>
        <v>#DIV/0!</v>
      </c>
      <c r="G243" s="30" t="e">
        <f>'Critérios de Seleção de Fornece'!O243</f>
        <v>#DIV/0!</v>
      </c>
      <c r="H243" s="30">
        <f>'Critérios de Seleção de Fornece'!Q243</f>
        <v>0</v>
      </c>
      <c r="I243" s="30" t="e">
        <f>'Critérios de Seleção de Fornece'!T243</f>
        <v>#DIV/0!</v>
      </c>
      <c r="J243" s="30" t="e">
        <f>'Critérios de Seleção de Fornece'!W243</f>
        <v>#DIV/0!</v>
      </c>
      <c r="K243" s="31" t="e">
        <f t="shared" si="20"/>
        <v>#DIV/0!</v>
      </c>
      <c r="L243" s="14"/>
      <c r="M243" s="14"/>
      <c r="N243" s="33">
        <f t="shared" si="21"/>
        <v>3</v>
      </c>
      <c r="O243" s="34" t="e">
        <f t="shared" si="22"/>
        <v>#DIV/0!</v>
      </c>
      <c r="P243" s="39" t="e">
        <f t="shared" si="23"/>
        <v>#DIV/0!</v>
      </c>
      <c r="Q243" s="11"/>
    </row>
    <row r="244" spans="2:17" x14ac:dyDescent="0.3">
      <c r="B244" s="30">
        <f>'Critérios de Seleção de Fornece'!B244</f>
        <v>239</v>
      </c>
      <c r="C244" s="30">
        <f>'Critérios de Seleção de Fornece'!C244</f>
        <v>0</v>
      </c>
      <c r="D244" s="30">
        <f>'Critérios de Seleção de Fornece'!H244</f>
        <v>0</v>
      </c>
      <c r="E244" s="30">
        <f>'Critérios de Seleção de Fornece'!I244</f>
        <v>0</v>
      </c>
      <c r="F244" s="30" t="e">
        <f>'Critérios de Seleção de Fornece'!L244</f>
        <v>#DIV/0!</v>
      </c>
      <c r="G244" s="30" t="e">
        <f>'Critérios de Seleção de Fornece'!O244</f>
        <v>#DIV/0!</v>
      </c>
      <c r="H244" s="30">
        <f>'Critérios de Seleção de Fornece'!Q244</f>
        <v>0</v>
      </c>
      <c r="I244" s="30" t="e">
        <f>'Critérios de Seleção de Fornece'!T244</f>
        <v>#DIV/0!</v>
      </c>
      <c r="J244" s="30" t="e">
        <f>'Critérios de Seleção de Fornece'!W244</f>
        <v>#DIV/0!</v>
      </c>
      <c r="K244" s="31" t="e">
        <f t="shared" si="20"/>
        <v>#DIV/0!</v>
      </c>
      <c r="L244" s="14"/>
      <c r="M244" s="14"/>
      <c r="N244" s="33">
        <f t="shared" si="21"/>
        <v>3</v>
      </c>
      <c r="O244" s="34" t="e">
        <f t="shared" si="22"/>
        <v>#DIV/0!</v>
      </c>
      <c r="P244" s="39" t="e">
        <f t="shared" si="23"/>
        <v>#DIV/0!</v>
      </c>
      <c r="Q244" s="11"/>
    </row>
    <row r="245" spans="2:17" x14ac:dyDescent="0.3">
      <c r="B245" s="30">
        <f>'Critérios de Seleção de Fornece'!B245</f>
        <v>240</v>
      </c>
      <c r="C245" s="30">
        <f>'Critérios de Seleção de Fornece'!C245</f>
        <v>0</v>
      </c>
      <c r="D245" s="30">
        <f>'Critérios de Seleção de Fornece'!H245</f>
        <v>0</v>
      </c>
      <c r="E245" s="30">
        <f>'Critérios de Seleção de Fornece'!I245</f>
        <v>0</v>
      </c>
      <c r="F245" s="30" t="e">
        <f>'Critérios de Seleção de Fornece'!L245</f>
        <v>#DIV/0!</v>
      </c>
      <c r="G245" s="30" t="e">
        <f>'Critérios de Seleção de Fornece'!O245</f>
        <v>#DIV/0!</v>
      </c>
      <c r="H245" s="30">
        <f>'Critérios de Seleção de Fornece'!Q245</f>
        <v>0</v>
      </c>
      <c r="I245" s="30" t="e">
        <f>'Critérios de Seleção de Fornece'!T245</f>
        <v>#DIV/0!</v>
      </c>
      <c r="J245" s="30" t="e">
        <f>'Critérios de Seleção de Fornece'!W245</f>
        <v>#DIV/0!</v>
      </c>
      <c r="K245" s="31" t="e">
        <f t="shared" si="20"/>
        <v>#DIV/0!</v>
      </c>
      <c r="L245" s="14"/>
      <c r="M245" s="14"/>
      <c r="N245" s="33">
        <f t="shared" si="21"/>
        <v>3</v>
      </c>
      <c r="O245" s="34" t="e">
        <f t="shared" si="22"/>
        <v>#DIV/0!</v>
      </c>
      <c r="P245" s="39" t="e">
        <f t="shared" si="23"/>
        <v>#DIV/0!</v>
      </c>
      <c r="Q245" s="11"/>
    </row>
    <row r="246" spans="2:17" x14ac:dyDescent="0.3">
      <c r="B246" s="30">
        <f>'Critérios de Seleção de Fornece'!B246</f>
        <v>241</v>
      </c>
      <c r="C246" s="30">
        <f>'Critérios de Seleção de Fornece'!C246</f>
        <v>0</v>
      </c>
      <c r="D246" s="30">
        <f>'Critérios de Seleção de Fornece'!H246</f>
        <v>0</v>
      </c>
      <c r="E246" s="30">
        <f>'Critérios de Seleção de Fornece'!I246</f>
        <v>0</v>
      </c>
      <c r="F246" s="30" t="e">
        <f>'Critérios de Seleção de Fornece'!L246</f>
        <v>#DIV/0!</v>
      </c>
      <c r="G246" s="30" t="e">
        <f>'Critérios de Seleção de Fornece'!O246</f>
        <v>#DIV/0!</v>
      </c>
      <c r="H246" s="30">
        <f>'Critérios de Seleção de Fornece'!Q246</f>
        <v>0</v>
      </c>
      <c r="I246" s="30" t="e">
        <f>'Critérios de Seleção de Fornece'!T246</f>
        <v>#DIV/0!</v>
      </c>
      <c r="J246" s="30" t="e">
        <f>'Critérios de Seleção de Fornece'!W246</f>
        <v>#DIV/0!</v>
      </c>
      <c r="K246" s="31" t="e">
        <f t="shared" si="20"/>
        <v>#DIV/0!</v>
      </c>
      <c r="L246" s="14"/>
      <c r="M246" s="14"/>
      <c r="N246" s="33">
        <f t="shared" si="21"/>
        <v>3</v>
      </c>
      <c r="O246" s="34" t="e">
        <f t="shared" si="22"/>
        <v>#DIV/0!</v>
      </c>
      <c r="P246" s="39" t="e">
        <f t="shared" si="23"/>
        <v>#DIV/0!</v>
      </c>
      <c r="Q246" s="11"/>
    </row>
    <row r="247" spans="2:17" x14ac:dyDescent="0.3">
      <c r="B247" s="30">
        <f>'Critérios de Seleção de Fornece'!B247</f>
        <v>242</v>
      </c>
      <c r="C247" s="30">
        <f>'Critérios de Seleção de Fornece'!C247</f>
        <v>0</v>
      </c>
      <c r="D247" s="30">
        <f>'Critérios de Seleção de Fornece'!H247</f>
        <v>0</v>
      </c>
      <c r="E247" s="30">
        <f>'Critérios de Seleção de Fornece'!I247</f>
        <v>0</v>
      </c>
      <c r="F247" s="30" t="e">
        <f>'Critérios de Seleção de Fornece'!L247</f>
        <v>#DIV/0!</v>
      </c>
      <c r="G247" s="30" t="e">
        <f>'Critérios de Seleção de Fornece'!O247</f>
        <v>#DIV/0!</v>
      </c>
      <c r="H247" s="30">
        <f>'Critérios de Seleção de Fornece'!Q247</f>
        <v>0</v>
      </c>
      <c r="I247" s="30" t="e">
        <f>'Critérios de Seleção de Fornece'!T247</f>
        <v>#DIV/0!</v>
      </c>
      <c r="J247" s="30" t="e">
        <f>'Critérios de Seleção de Fornece'!W247</f>
        <v>#DIV/0!</v>
      </c>
      <c r="K247" s="31" t="e">
        <f t="shared" si="20"/>
        <v>#DIV/0!</v>
      </c>
      <c r="L247" s="14"/>
      <c r="M247" s="14"/>
      <c r="N247" s="33">
        <f t="shared" si="21"/>
        <v>3</v>
      </c>
      <c r="O247" s="34" t="e">
        <f t="shared" si="22"/>
        <v>#DIV/0!</v>
      </c>
      <c r="P247" s="39" t="e">
        <f t="shared" si="23"/>
        <v>#DIV/0!</v>
      </c>
      <c r="Q247" s="11"/>
    </row>
    <row r="248" spans="2:17" x14ac:dyDescent="0.3">
      <c r="B248" s="30">
        <f>'Critérios de Seleção de Fornece'!B248</f>
        <v>243</v>
      </c>
      <c r="C248" s="30">
        <f>'Critérios de Seleção de Fornece'!C248</f>
        <v>0</v>
      </c>
      <c r="D248" s="30">
        <f>'Critérios de Seleção de Fornece'!H248</f>
        <v>0</v>
      </c>
      <c r="E248" s="30">
        <f>'Critérios de Seleção de Fornece'!I248</f>
        <v>0</v>
      </c>
      <c r="F248" s="30" t="e">
        <f>'Critérios de Seleção de Fornece'!L248</f>
        <v>#DIV/0!</v>
      </c>
      <c r="G248" s="30" t="e">
        <f>'Critérios de Seleção de Fornece'!O248</f>
        <v>#DIV/0!</v>
      </c>
      <c r="H248" s="30">
        <f>'Critérios de Seleção de Fornece'!Q248</f>
        <v>0</v>
      </c>
      <c r="I248" s="30" t="e">
        <f>'Critérios de Seleção de Fornece'!T248</f>
        <v>#DIV/0!</v>
      </c>
      <c r="J248" s="30" t="e">
        <f>'Critérios de Seleção de Fornece'!W248</f>
        <v>#DIV/0!</v>
      </c>
      <c r="K248" s="31" t="e">
        <f t="shared" si="20"/>
        <v>#DIV/0!</v>
      </c>
      <c r="L248" s="14"/>
      <c r="M248" s="14"/>
      <c r="N248" s="33">
        <f t="shared" si="21"/>
        <v>3</v>
      </c>
      <c r="O248" s="34" t="e">
        <f t="shared" si="22"/>
        <v>#DIV/0!</v>
      </c>
      <c r="P248" s="39" t="e">
        <f t="shared" si="23"/>
        <v>#DIV/0!</v>
      </c>
      <c r="Q248" s="11"/>
    </row>
    <row r="249" spans="2:17" x14ac:dyDescent="0.3">
      <c r="B249" s="30">
        <f>'Critérios de Seleção de Fornece'!B249</f>
        <v>244</v>
      </c>
      <c r="C249" s="30">
        <f>'Critérios de Seleção de Fornece'!C249</f>
        <v>0</v>
      </c>
      <c r="D249" s="30">
        <f>'Critérios de Seleção de Fornece'!H249</f>
        <v>0</v>
      </c>
      <c r="E249" s="30">
        <f>'Critérios de Seleção de Fornece'!I249</f>
        <v>0</v>
      </c>
      <c r="F249" s="30" t="e">
        <f>'Critérios de Seleção de Fornece'!L249</f>
        <v>#DIV/0!</v>
      </c>
      <c r="G249" s="30" t="e">
        <f>'Critérios de Seleção de Fornece'!O249</f>
        <v>#DIV/0!</v>
      </c>
      <c r="H249" s="30">
        <f>'Critérios de Seleção de Fornece'!Q249</f>
        <v>0</v>
      </c>
      <c r="I249" s="30" t="e">
        <f>'Critérios de Seleção de Fornece'!T249</f>
        <v>#DIV/0!</v>
      </c>
      <c r="J249" s="30" t="e">
        <f>'Critérios de Seleção de Fornece'!W249</f>
        <v>#DIV/0!</v>
      </c>
      <c r="K249" s="31" t="e">
        <f t="shared" si="20"/>
        <v>#DIV/0!</v>
      </c>
      <c r="L249" s="14"/>
      <c r="M249" s="14"/>
      <c r="N249" s="33">
        <f t="shared" si="21"/>
        <v>3</v>
      </c>
      <c r="O249" s="34" t="e">
        <f t="shared" si="22"/>
        <v>#DIV/0!</v>
      </c>
      <c r="P249" s="39" t="e">
        <f t="shared" si="23"/>
        <v>#DIV/0!</v>
      </c>
      <c r="Q249" s="11"/>
    </row>
    <row r="250" spans="2:17" x14ac:dyDescent="0.3">
      <c r="B250" s="30">
        <f>'Critérios de Seleção de Fornece'!B250</f>
        <v>245</v>
      </c>
      <c r="C250" s="30">
        <f>'Critérios de Seleção de Fornece'!C250</f>
        <v>0</v>
      </c>
      <c r="D250" s="30">
        <f>'Critérios de Seleção de Fornece'!H250</f>
        <v>0</v>
      </c>
      <c r="E250" s="30">
        <f>'Critérios de Seleção de Fornece'!I250</f>
        <v>0</v>
      </c>
      <c r="F250" s="30" t="e">
        <f>'Critérios de Seleção de Fornece'!L250</f>
        <v>#DIV/0!</v>
      </c>
      <c r="G250" s="30" t="e">
        <f>'Critérios de Seleção de Fornece'!O250</f>
        <v>#DIV/0!</v>
      </c>
      <c r="H250" s="30">
        <f>'Critérios de Seleção de Fornece'!Q250</f>
        <v>0</v>
      </c>
      <c r="I250" s="30" t="e">
        <f>'Critérios de Seleção de Fornece'!T250</f>
        <v>#DIV/0!</v>
      </c>
      <c r="J250" s="30" t="e">
        <f>'Critérios de Seleção de Fornece'!W250</f>
        <v>#DIV/0!</v>
      </c>
      <c r="K250" s="31" t="e">
        <f t="shared" si="20"/>
        <v>#DIV/0!</v>
      </c>
      <c r="L250" s="14"/>
      <c r="M250" s="14"/>
      <c r="N250" s="33">
        <f t="shared" si="21"/>
        <v>3</v>
      </c>
      <c r="O250" s="34" t="e">
        <f t="shared" si="22"/>
        <v>#DIV/0!</v>
      </c>
      <c r="P250" s="39" t="e">
        <f t="shared" si="23"/>
        <v>#DIV/0!</v>
      </c>
      <c r="Q250" s="11"/>
    </row>
    <row r="251" spans="2:17" x14ac:dyDescent="0.3">
      <c r="B251" s="30">
        <f>'Critérios de Seleção de Fornece'!B251</f>
        <v>246</v>
      </c>
      <c r="C251" s="30">
        <f>'Critérios de Seleção de Fornece'!C251</f>
        <v>0</v>
      </c>
      <c r="D251" s="30">
        <f>'Critérios de Seleção de Fornece'!H251</f>
        <v>0</v>
      </c>
      <c r="E251" s="30">
        <f>'Critérios de Seleção de Fornece'!I251</f>
        <v>0</v>
      </c>
      <c r="F251" s="30" t="e">
        <f>'Critérios de Seleção de Fornece'!L251</f>
        <v>#DIV/0!</v>
      </c>
      <c r="G251" s="30" t="e">
        <f>'Critérios de Seleção de Fornece'!O251</f>
        <v>#DIV/0!</v>
      </c>
      <c r="H251" s="30">
        <f>'Critérios de Seleção de Fornece'!Q251</f>
        <v>0</v>
      </c>
      <c r="I251" s="30" t="e">
        <f>'Critérios de Seleção de Fornece'!T251</f>
        <v>#DIV/0!</v>
      </c>
      <c r="J251" s="30" t="e">
        <f>'Critérios de Seleção de Fornece'!W251</f>
        <v>#DIV/0!</v>
      </c>
      <c r="K251" s="31" t="e">
        <f t="shared" si="20"/>
        <v>#DIV/0!</v>
      </c>
      <c r="L251" s="14"/>
      <c r="M251" s="14"/>
      <c r="N251" s="33">
        <f t="shared" si="21"/>
        <v>3</v>
      </c>
      <c r="O251" s="34" t="e">
        <f t="shared" si="22"/>
        <v>#DIV/0!</v>
      </c>
      <c r="P251" s="39" t="e">
        <f t="shared" si="23"/>
        <v>#DIV/0!</v>
      </c>
      <c r="Q251" s="11"/>
    </row>
    <row r="252" spans="2:17" x14ac:dyDescent="0.3">
      <c r="B252" s="30">
        <f>'Critérios de Seleção de Fornece'!B252</f>
        <v>247</v>
      </c>
      <c r="C252" s="30">
        <f>'Critérios de Seleção de Fornece'!C252</f>
        <v>0</v>
      </c>
      <c r="D252" s="30">
        <f>'Critérios de Seleção de Fornece'!H252</f>
        <v>0</v>
      </c>
      <c r="E252" s="30">
        <f>'Critérios de Seleção de Fornece'!I252</f>
        <v>0</v>
      </c>
      <c r="F252" s="30" t="e">
        <f>'Critérios de Seleção de Fornece'!L252</f>
        <v>#DIV/0!</v>
      </c>
      <c r="G252" s="30" t="e">
        <f>'Critérios de Seleção de Fornece'!O252</f>
        <v>#DIV/0!</v>
      </c>
      <c r="H252" s="30">
        <f>'Critérios de Seleção de Fornece'!Q252</f>
        <v>0</v>
      </c>
      <c r="I252" s="30" t="e">
        <f>'Critérios de Seleção de Fornece'!T252</f>
        <v>#DIV/0!</v>
      </c>
      <c r="J252" s="30" t="e">
        <f>'Critérios de Seleção de Fornece'!W252</f>
        <v>#DIV/0!</v>
      </c>
      <c r="K252" s="31" t="e">
        <f t="shared" si="20"/>
        <v>#DIV/0!</v>
      </c>
      <c r="L252" s="14"/>
      <c r="M252" s="14"/>
      <c r="N252" s="33">
        <f t="shared" si="21"/>
        <v>3</v>
      </c>
      <c r="O252" s="34" t="e">
        <f t="shared" si="22"/>
        <v>#DIV/0!</v>
      </c>
      <c r="P252" s="39" t="e">
        <f t="shared" si="23"/>
        <v>#DIV/0!</v>
      </c>
      <c r="Q252" s="11"/>
    </row>
    <row r="253" spans="2:17" x14ac:dyDescent="0.3">
      <c r="B253" s="30">
        <f>'Critérios de Seleção de Fornece'!B253</f>
        <v>248</v>
      </c>
      <c r="C253" s="30">
        <f>'Critérios de Seleção de Fornece'!C253</f>
        <v>0</v>
      </c>
      <c r="D253" s="30">
        <f>'Critérios de Seleção de Fornece'!H253</f>
        <v>0</v>
      </c>
      <c r="E253" s="30">
        <f>'Critérios de Seleção de Fornece'!I253</f>
        <v>0</v>
      </c>
      <c r="F253" s="30" t="e">
        <f>'Critérios de Seleção de Fornece'!L253</f>
        <v>#DIV/0!</v>
      </c>
      <c r="G253" s="30" t="e">
        <f>'Critérios de Seleção de Fornece'!O253</f>
        <v>#DIV/0!</v>
      </c>
      <c r="H253" s="30">
        <f>'Critérios de Seleção de Fornece'!Q253</f>
        <v>0</v>
      </c>
      <c r="I253" s="30" t="e">
        <f>'Critérios de Seleção de Fornece'!T253</f>
        <v>#DIV/0!</v>
      </c>
      <c r="J253" s="30" t="e">
        <f>'Critérios de Seleção de Fornece'!W253</f>
        <v>#DIV/0!</v>
      </c>
      <c r="K253" s="31" t="e">
        <f t="shared" si="20"/>
        <v>#DIV/0!</v>
      </c>
      <c r="L253" s="14"/>
      <c r="M253" s="14"/>
      <c r="N253" s="33">
        <f t="shared" si="21"/>
        <v>3</v>
      </c>
      <c r="O253" s="34" t="e">
        <f t="shared" si="22"/>
        <v>#DIV/0!</v>
      </c>
      <c r="P253" s="39" t="e">
        <f t="shared" si="23"/>
        <v>#DIV/0!</v>
      </c>
      <c r="Q253" s="11"/>
    </row>
    <row r="254" spans="2:17" x14ac:dyDescent="0.3">
      <c r="B254" s="30">
        <f>'Critérios de Seleção de Fornece'!B254</f>
        <v>249</v>
      </c>
      <c r="C254" s="30">
        <f>'Critérios de Seleção de Fornece'!C254</f>
        <v>0</v>
      </c>
      <c r="D254" s="30">
        <f>'Critérios de Seleção de Fornece'!H254</f>
        <v>0</v>
      </c>
      <c r="E254" s="30">
        <f>'Critérios de Seleção de Fornece'!I254</f>
        <v>0</v>
      </c>
      <c r="F254" s="30" t="e">
        <f>'Critérios de Seleção de Fornece'!L254</f>
        <v>#DIV/0!</v>
      </c>
      <c r="G254" s="30" t="e">
        <f>'Critérios de Seleção de Fornece'!O254</f>
        <v>#DIV/0!</v>
      </c>
      <c r="H254" s="30">
        <f>'Critérios de Seleção de Fornece'!Q254</f>
        <v>0</v>
      </c>
      <c r="I254" s="30" t="e">
        <f>'Critérios de Seleção de Fornece'!T254</f>
        <v>#DIV/0!</v>
      </c>
      <c r="J254" s="30" t="e">
        <f>'Critérios de Seleção de Fornece'!W254</f>
        <v>#DIV/0!</v>
      </c>
      <c r="K254" s="31" t="e">
        <f t="shared" si="20"/>
        <v>#DIV/0!</v>
      </c>
      <c r="L254" s="14"/>
      <c r="M254" s="14"/>
      <c r="N254" s="33">
        <f t="shared" si="21"/>
        <v>3</v>
      </c>
      <c r="O254" s="34" t="e">
        <f t="shared" si="22"/>
        <v>#DIV/0!</v>
      </c>
      <c r="P254" s="39" t="e">
        <f t="shared" si="23"/>
        <v>#DIV/0!</v>
      </c>
      <c r="Q254" s="11"/>
    </row>
    <row r="255" spans="2:17" x14ac:dyDescent="0.3">
      <c r="B255" s="30">
        <f>'Critérios de Seleção de Fornece'!B255</f>
        <v>250</v>
      </c>
      <c r="C255" s="30">
        <f>'Critérios de Seleção de Fornece'!C255</f>
        <v>0</v>
      </c>
      <c r="D255" s="30">
        <f>'Critérios de Seleção de Fornece'!H255</f>
        <v>0</v>
      </c>
      <c r="E255" s="30">
        <f>'Critérios de Seleção de Fornece'!I255</f>
        <v>0</v>
      </c>
      <c r="F255" s="30" t="e">
        <f>'Critérios de Seleção de Fornece'!L255</f>
        <v>#DIV/0!</v>
      </c>
      <c r="G255" s="30" t="e">
        <f>'Critérios de Seleção de Fornece'!O255</f>
        <v>#DIV/0!</v>
      </c>
      <c r="H255" s="30">
        <f>'Critérios de Seleção de Fornece'!Q255</f>
        <v>0</v>
      </c>
      <c r="I255" s="30" t="e">
        <f>'Critérios de Seleção de Fornece'!T255</f>
        <v>#DIV/0!</v>
      </c>
      <c r="J255" s="30" t="e">
        <f>'Critérios de Seleção de Fornece'!W255</f>
        <v>#DIV/0!</v>
      </c>
      <c r="K255" s="31" t="e">
        <f t="shared" si="20"/>
        <v>#DIV/0!</v>
      </c>
      <c r="L255" s="14"/>
      <c r="M255" s="14"/>
      <c r="N255" s="33">
        <f t="shared" si="21"/>
        <v>3</v>
      </c>
      <c r="O255" s="34" t="e">
        <f t="shared" si="22"/>
        <v>#DIV/0!</v>
      </c>
      <c r="P255" s="39" t="e">
        <f t="shared" si="23"/>
        <v>#DIV/0!</v>
      </c>
      <c r="Q255" s="11"/>
    </row>
    <row r="256" spans="2:17" x14ac:dyDescent="0.3">
      <c r="B256" s="30">
        <f>'Critérios de Seleção de Fornece'!B256</f>
        <v>251</v>
      </c>
      <c r="C256" s="30">
        <f>'Critérios de Seleção de Fornece'!C256</f>
        <v>0</v>
      </c>
      <c r="D256" s="30">
        <f>'Critérios de Seleção de Fornece'!H256</f>
        <v>0</v>
      </c>
      <c r="E256" s="30">
        <f>'Critérios de Seleção de Fornece'!I256</f>
        <v>0</v>
      </c>
      <c r="F256" s="30" t="e">
        <f>'Critérios de Seleção de Fornece'!L256</f>
        <v>#DIV/0!</v>
      </c>
      <c r="G256" s="30" t="e">
        <f>'Critérios de Seleção de Fornece'!O256</f>
        <v>#DIV/0!</v>
      </c>
      <c r="H256" s="30">
        <f>'Critérios de Seleção de Fornece'!Q256</f>
        <v>0</v>
      </c>
      <c r="I256" s="30" t="e">
        <f>'Critérios de Seleção de Fornece'!T256</f>
        <v>#DIV/0!</v>
      </c>
      <c r="J256" s="30" t="e">
        <f>'Critérios de Seleção de Fornece'!W256</f>
        <v>#DIV/0!</v>
      </c>
      <c r="K256" s="31" t="e">
        <f t="shared" si="20"/>
        <v>#DIV/0!</v>
      </c>
      <c r="L256" s="14"/>
      <c r="M256" s="14"/>
      <c r="N256" s="33">
        <f t="shared" si="21"/>
        <v>3</v>
      </c>
      <c r="O256" s="34" t="e">
        <f t="shared" si="22"/>
        <v>#DIV/0!</v>
      </c>
      <c r="P256" s="39" t="e">
        <f t="shared" si="23"/>
        <v>#DIV/0!</v>
      </c>
      <c r="Q256" s="11"/>
    </row>
    <row r="257" spans="2:17" x14ac:dyDescent="0.3">
      <c r="B257" s="30">
        <f>'Critérios de Seleção de Fornece'!B257</f>
        <v>252</v>
      </c>
      <c r="C257" s="30">
        <f>'Critérios de Seleção de Fornece'!C257</f>
        <v>0</v>
      </c>
      <c r="D257" s="30">
        <f>'Critérios de Seleção de Fornece'!H257</f>
        <v>0</v>
      </c>
      <c r="E257" s="30">
        <f>'Critérios de Seleção de Fornece'!I257</f>
        <v>0</v>
      </c>
      <c r="F257" s="30" t="e">
        <f>'Critérios de Seleção de Fornece'!L257</f>
        <v>#DIV/0!</v>
      </c>
      <c r="G257" s="30" t="e">
        <f>'Critérios de Seleção de Fornece'!O257</f>
        <v>#DIV/0!</v>
      </c>
      <c r="H257" s="30">
        <f>'Critérios de Seleção de Fornece'!Q257</f>
        <v>0</v>
      </c>
      <c r="I257" s="30" t="e">
        <f>'Critérios de Seleção de Fornece'!T257</f>
        <v>#DIV/0!</v>
      </c>
      <c r="J257" s="30" t="e">
        <f>'Critérios de Seleção de Fornece'!W257</f>
        <v>#DIV/0!</v>
      </c>
      <c r="K257" s="31" t="e">
        <f t="shared" si="20"/>
        <v>#DIV/0!</v>
      </c>
      <c r="L257" s="14"/>
      <c r="M257" s="14"/>
      <c r="N257" s="33">
        <f t="shared" si="21"/>
        <v>3</v>
      </c>
      <c r="O257" s="34" t="e">
        <f t="shared" si="22"/>
        <v>#DIV/0!</v>
      </c>
      <c r="P257" s="39" t="e">
        <f t="shared" si="23"/>
        <v>#DIV/0!</v>
      </c>
      <c r="Q257" s="11"/>
    </row>
    <row r="258" spans="2:17" x14ac:dyDescent="0.3">
      <c r="B258" s="30">
        <f>'Critérios de Seleção de Fornece'!B258</f>
        <v>253</v>
      </c>
      <c r="C258" s="30">
        <f>'Critérios de Seleção de Fornece'!C258</f>
        <v>0</v>
      </c>
      <c r="D258" s="30">
        <f>'Critérios de Seleção de Fornece'!H258</f>
        <v>0</v>
      </c>
      <c r="E258" s="30">
        <f>'Critérios de Seleção de Fornece'!I258</f>
        <v>0</v>
      </c>
      <c r="F258" s="30" t="e">
        <f>'Critérios de Seleção de Fornece'!L258</f>
        <v>#DIV/0!</v>
      </c>
      <c r="G258" s="30" t="e">
        <f>'Critérios de Seleção de Fornece'!O258</f>
        <v>#DIV/0!</v>
      </c>
      <c r="H258" s="30">
        <f>'Critérios de Seleção de Fornece'!Q258</f>
        <v>0</v>
      </c>
      <c r="I258" s="30" t="e">
        <f>'Critérios de Seleção de Fornece'!T258</f>
        <v>#DIV/0!</v>
      </c>
      <c r="J258" s="30" t="e">
        <f>'Critérios de Seleção de Fornece'!W258</f>
        <v>#DIV/0!</v>
      </c>
      <c r="K258" s="31" t="e">
        <f t="shared" si="20"/>
        <v>#DIV/0!</v>
      </c>
      <c r="L258" s="14"/>
      <c r="M258" s="14"/>
      <c r="N258" s="33">
        <f t="shared" si="21"/>
        <v>3</v>
      </c>
      <c r="O258" s="34" t="e">
        <f t="shared" si="22"/>
        <v>#DIV/0!</v>
      </c>
      <c r="P258" s="39" t="e">
        <f t="shared" si="23"/>
        <v>#DIV/0!</v>
      </c>
      <c r="Q258" s="11"/>
    </row>
    <row r="259" spans="2:17" x14ac:dyDescent="0.3">
      <c r="B259" s="30">
        <f>'Critérios de Seleção de Fornece'!B259</f>
        <v>254</v>
      </c>
      <c r="C259" s="30">
        <f>'Critérios de Seleção de Fornece'!C259</f>
        <v>0</v>
      </c>
      <c r="D259" s="30">
        <f>'Critérios de Seleção de Fornece'!H259</f>
        <v>0</v>
      </c>
      <c r="E259" s="30">
        <f>'Critérios de Seleção de Fornece'!I259</f>
        <v>0</v>
      </c>
      <c r="F259" s="30" t="e">
        <f>'Critérios de Seleção de Fornece'!L259</f>
        <v>#DIV/0!</v>
      </c>
      <c r="G259" s="30" t="e">
        <f>'Critérios de Seleção de Fornece'!O259</f>
        <v>#DIV/0!</v>
      </c>
      <c r="H259" s="30">
        <f>'Critérios de Seleção de Fornece'!Q259</f>
        <v>0</v>
      </c>
      <c r="I259" s="30" t="e">
        <f>'Critérios de Seleção de Fornece'!T259</f>
        <v>#DIV/0!</v>
      </c>
      <c r="J259" s="30" t="e">
        <f>'Critérios de Seleção de Fornece'!W259</f>
        <v>#DIV/0!</v>
      </c>
      <c r="K259" s="31" t="e">
        <f t="shared" si="20"/>
        <v>#DIV/0!</v>
      </c>
      <c r="L259" s="14"/>
      <c r="M259" s="14"/>
      <c r="N259" s="33">
        <f t="shared" si="21"/>
        <v>3</v>
      </c>
      <c r="O259" s="34" t="e">
        <f t="shared" si="22"/>
        <v>#DIV/0!</v>
      </c>
      <c r="P259" s="39" t="e">
        <f t="shared" si="23"/>
        <v>#DIV/0!</v>
      </c>
      <c r="Q259" s="11"/>
    </row>
    <row r="260" spans="2:17" x14ac:dyDescent="0.3">
      <c r="B260" s="30">
        <f>'Critérios de Seleção de Fornece'!B260</f>
        <v>255</v>
      </c>
      <c r="C260" s="30">
        <f>'Critérios de Seleção de Fornece'!C260</f>
        <v>0</v>
      </c>
      <c r="D260" s="30">
        <f>'Critérios de Seleção de Fornece'!H260</f>
        <v>0</v>
      </c>
      <c r="E260" s="30">
        <f>'Critérios de Seleção de Fornece'!I260</f>
        <v>0</v>
      </c>
      <c r="F260" s="30" t="e">
        <f>'Critérios de Seleção de Fornece'!L260</f>
        <v>#DIV/0!</v>
      </c>
      <c r="G260" s="30" t="e">
        <f>'Critérios de Seleção de Fornece'!O260</f>
        <v>#DIV/0!</v>
      </c>
      <c r="H260" s="30">
        <f>'Critérios de Seleção de Fornece'!Q260</f>
        <v>0</v>
      </c>
      <c r="I260" s="30" t="e">
        <f>'Critérios de Seleção de Fornece'!T260</f>
        <v>#DIV/0!</v>
      </c>
      <c r="J260" s="30" t="e">
        <f>'Critérios de Seleção de Fornece'!W260</f>
        <v>#DIV/0!</v>
      </c>
      <c r="K260" s="31" t="e">
        <f t="shared" si="20"/>
        <v>#DIV/0!</v>
      </c>
      <c r="L260" s="14"/>
      <c r="M260" s="14"/>
      <c r="N260" s="33">
        <f t="shared" si="21"/>
        <v>3</v>
      </c>
      <c r="O260" s="34" t="e">
        <f t="shared" si="22"/>
        <v>#DIV/0!</v>
      </c>
      <c r="P260" s="39" t="e">
        <f t="shared" si="23"/>
        <v>#DIV/0!</v>
      </c>
      <c r="Q260" s="11"/>
    </row>
    <row r="261" spans="2:17" x14ac:dyDescent="0.3">
      <c r="B261" s="30">
        <f>'Critérios de Seleção de Fornece'!B261</f>
        <v>256</v>
      </c>
      <c r="C261" s="30">
        <f>'Critérios de Seleção de Fornece'!C261</f>
        <v>0</v>
      </c>
      <c r="D261" s="30">
        <f>'Critérios de Seleção de Fornece'!H261</f>
        <v>0</v>
      </c>
      <c r="E261" s="30">
        <f>'Critérios de Seleção de Fornece'!I261</f>
        <v>0</v>
      </c>
      <c r="F261" s="30" t="e">
        <f>'Critérios de Seleção de Fornece'!L261</f>
        <v>#DIV/0!</v>
      </c>
      <c r="G261" s="30" t="e">
        <f>'Critérios de Seleção de Fornece'!O261</f>
        <v>#DIV/0!</v>
      </c>
      <c r="H261" s="30">
        <f>'Critérios de Seleção de Fornece'!Q261</f>
        <v>0</v>
      </c>
      <c r="I261" s="30" t="e">
        <f>'Critérios de Seleção de Fornece'!T261</f>
        <v>#DIV/0!</v>
      </c>
      <c r="J261" s="30" t="e">
        <f>'Critérios de Seleção de Fornece'!W261</f>
        <v>#DIV/0!</v>
      </c>
      <c r="K261" s="31" t="e">
        <f t="shared" si="20"/>
        <v>#DIV/0!</v>
      </c>
      <c r="L261" s="14"/>
      <c r="M261" s="14"/>
      <c r="N261" s="33">
        <f t="shared" si="21"/>
        <v>3</v>
      </c>
      <c r="O261" s="34" t="e">
        <f t="shared" si="22"/>
        <v>#DIV/0!</v>
      </c>
      <c r="P261" s="39" t="e">
        <f t="shared" si="23"/>
        <v>#DIV/0!</v>
      </c>
      <c r="Q261" s="11"/>
    </row>
    <row r="262" spans="2:17" x14ac:dyDescent="0.3">
      <c r="B262" s="30">
        <f>'Critérios de Seleção de Fornece'!B262</f>
        <v>257</v>
      </c>
      <c r="C262" s="30">
        <f>'Critérios de Seleção de Fornece'!C262</f>
        <v>0</v>
      </c>
      <c r="D262" s="30">
        <f>'Critérios de Seleção de Fornece'!H262</f>
        <v>0</v>
      </c>
      <c r="E262" s="30">
        <f>'Critérios de Seleção de Fornece'!I262</f>
        <v>0</v>
      </c>
      <c r="F262" s="30" t="e">
        <f>'Critérios de Seleção de Fornece'!L262</f>
        <v>#DIV/0!</v>
      </c>
      <c r="G262" s="30" t="e">
        <f>'Critérios de Seleção de Fornece'!O262</f>
        <v>#DIV/0!</v>
      </c>
      <c r="H262" s="30">
        <f>'Critérios de Seleção de Fornece'!Q262</f>
        <v>0</v>
      </c>
      <c r="I262" s="30" t="e">
        <f>'Critérios de Seleção de Fornece'!T262</f>
        <v>#DIV/0!</v>
      </c>
      <c r="J262" s="30" t="e">
        <f>'Critérios de Seleção de Fornece'!W262</f>
        <v>#DIV/0!</v>
      </c>
      <c r="K262" s="31" t="e">
        <f t="shared" si="20"/>
        <v>#DIV/0!</v>
      </c>
      <c r="L262" s="14"/>
      <c r="M262" s="14"/>
      <c r="N262" s="33">
        <f t="shared" si="21"/>
        <v>3</v>
      </c>
      <c r="O262" s="34" t="e">
        <f t="shared" si="22"/>
        <v>#DIV/0!</v>
      </c>
      <c r="P262" s="39" t="e">
        <f t="shared" si="23"/>
        <v>#DIV/0!</v>
      </c>
      <c r="Q262" s="11"/>
    </row>
    <row r="263" spans="2:17" x14ac:dyDescent="0.3">
      <c r="B263" s="30">
        <f>'Critérios de Seleção de Fornece'!B263</f>
        <v>258</v>
      </c>
      <c r="C263" s="30">
        <f>'Critérios de Seleção de Fornece'!C263</f>
        <v>0</v>
      </c>
      <c r="D263" s="30">
        <f>'Critérios de Seleção de Fornece'!H263</f>
        <v>0</v>
      </c>
      <c r="E263" s="30">
        <f>'Critérios de Seleção de Fornece'!I263</f>
        <v>0</v>
      </c>
      <c r="F263" s="30" t="e">
        <f>'Critérios de Seleção de Fornece'!L263</f>
        <v>#DIV/0!</v>
      </c>
      <c r="G263" s="30" t="e">
        <f>'Critérios de Seleção de Fornece'!O263</f>
        <v>#DIV/0!</v>
      </c>
      <c r="H263" s="30">
        <f>'Critérios de Seleção de Fornece'!Q263</f>
        <v>0</v>
      </c>
      <c r="I263" s="30" t="e">
        <f>'Critérios de Seleção de Fornece'!T263</f>
        <v>#DIV/0!</v>
      </c>
      <c r="J263" s="30" t="e">
        <f>'Critérios de Seleção de Fornece'!W263</f>
        <v>#DIV/0!</v>
      </c>
      <c r="K263" s="31" t="e">
        <f t="shared" si="20"/>
        <v>#DIV/0!</v>
      </c>
      <c r="L263" s="14"/>
      <c r="M263" s="14"/>
      <c r="N263" s="33">
        <f t="shared" si="21"/>
        <v>3</v>
      </c>
      <c r="O263" s="34" t="e">
        <f t="shared" si="22"/>
        <v>#DIV/0!</v>
      </c>
      <c r="P263" s="39" t="e">
        <f t="shared" si="23"/>
        <v>#DIV/0!</v>
      </c>
      <c r="Q263" s="11"/>
    </row>
    <row r="264" spans="2:17" x14ac:dyDescent="0.3">
      <c r="B264" s="30">
        <f>'Critérios de Seleção de Fornece'!B264</f>
        <v>259</v>
      </c>
      <c r="C264" s="30">
        <f>'Critérios de Seleção de Fornece'!C264</f>
        <v>0</v>
      </c>
      <c r="D264" s="30">
        <f>'Critérios de Seleção de Fornece'!H264</f>
        <v>0</v>
      </c>
      <c r="E264" s="30">
        <f>'Critérios de Seleção de Fornece'!I264</f>
        <v>0</v>
      </c>
      <c r="F264" s="30" t="e">
        <f>'Critérios de Seleção de Fornece'!L264</f>
        <v>#DIV/0!</v>
      </c>
      <c r="G264" s="30" t="e">
        <f>'Critérios de Seleção de Fornece'!O264</f>
        <v>#DIV/0!</v>
      </c>
      <c r="H264" s="30">
        <f>'Critérios de Seleção de Fornece'!Q264</f>
        <v>0</v>
      </c>
      <c r="I264" s="30" t="e">
        <f>'Critérios de Seleção de Fornece'!T264</f>
        <v>#DIV/0!</v>
      </c>
      <c r="J264" s="30" t="e">
        <f>'Critérios de Seleção de Fornece'!W264</f>
        <v>#DIV/0!</v>
      </c>
      <c r="K264" s="31" t="e">
        <f t="shared" si="20"/>
        <v>#DIV/0!</v>
      </c>
      <c r="L264" s="14"/>
      <c r="M264" s="14"/>
      <c r="N264" s="33">
        <f t="shared" si="21"/>
        <v>3</v>
      </c>
      <c r="O264" s="34" t="e">
        <f t="shared" si="22"/>
        <v>#DIV/0!</v>
      </c>
      <c r="P264" s="39" t="e">
        <f t="shared" si="23"/>
        <v>#DIV/0!</v>
      </c>
      <c r="Q264" s="11"/>
    </row>
    <row r="265" spans="2:17" x14ac:dyDescent="0.3">
      <c r="B265" s="30">
        <f>'Critérios de Seleção de Fornece'!B265</f>
        <v>260</v>
      </c>
      <c r="C265" s="30">
        <f>'Critérios de Seleção de Fornece'!C265</f>
        <v>0</v>
      </c>
      <c r="D265" s="30">
        <f>'Critérios de Seleção de Fornece'!H265</f>
        <v>0</v>
      </c>
      <c r="E265" s="30">
        <f>'Critérios de Seleção de Fornece'!I265</f>
        <v>0</v>
      </c>
      <c r="F265" s="30" t="e">
        <f>'Critérios de Seleção de Fornece'!L265</f>
        <v>#DIV/0!</v>
      </c>
      <c r="G265" s="30" t="e">
        <f>'Critérios de Seleção de Fornece'!O265</f>
        <v>#DIV/0!</v>
      </c>
      <c r="H265" s="30">
        <f>'Critérios de Seleção de Fornece'!Q265</f>
        <v>0</v>
      </c>
      <c r="I265" s="30" t="e">
        <f>'Critérios de Seleção de Fornece'!T265</f>
        <v>#DIV/0!</v>
      </c>
      <c r="J265" s="30" t="e">
        <f>'Critérios de Seleção de Fornece'!W265</f>
        <v>#DIV/0!</v>
      </c>
      <c r="K265" s="31" t="e">
        <f t="shared" si="20"/>
        <v>#DIV/0!</v>
      </c>
      <c r="L265" s="14"/>
      <c r="M265" s="14"/>
      <c r="N265" s="33">
        <f t="shared" si="21"/>
        <v>3</v>
      </c>
      <c r="O265" s="34" t="e">
        <f t="shared" si="22"/>
        <v>#DIV/0!</v>
      </c>
      <c r="P265" s="39" t="e">
        <f t="shared" si="23"/>
        <v>#DIV/0!</v>
      </c>
      <c r="Q265" s="11"/>
    </row>
    <row r="266" spans="2:17" x14ac:dyDescent="0.3">
      <c r="B266" s="30">
        <f>'Critérios de Seleção de Fornece'!B266</f>
        <v>261</v>
      </c>
      <c r="C266" s="30">
        <f>'Critérios de Seleção de Fornece'!C266</f>
        <v>0</v>
      </c>
      <c r="D266" s="30">
        <f>'Critérios de Seleção de Fornece'!H266</f>
        <v>0</v>
      </c>
      <c r="E266" s="30">
        <f>'Critérios de Seleção de Fornece'!I266</f>
        <v>0</v>
      </c>
      <c r="F266" s="30" t="e">
        <f>'Critérios de Seleção de Fornece'!L266</f>
        <v>#DIV/0!</v>
      </c>
      <c r="G266" s="30" t="e">
        <f>'Critérios de Seleção de Fornece'!O266</f>
        <v>#DIV/0!</v>
      </c>
      <c r="H266" s="30">
        <f>'Critérios de Seleção de Fornece'!Q266</f>
        <v>0</v>
      </c>
      <c r="I266" s="30" t="e">
        <f>'Critérios de Seleção de Fornece'!T266</f>
        <v>#DIV/0!</v>
      </c>
      <c r="J266" s="30" t="e">
        <f>'Critérios de Seleção de Fornece'!W266</f>
        <v>#DIV/0!</v>
      </c>
      <c r="K266" s="31" t="e">
        <f t="shared" si="20"/>
        <v>#DIV/0!</v>
      </c>
      <c r="L266" s="14"/>
      <c r="M266" s="14"/>
      <c r="N266" s="33">
        <f t="shared" si="21"/>
        <v>3</v>
      </c>
      <c r="O266" s="34" t="e">
        <f t="shared" si="22"/>
        <v>#DIV/0!</v>
      </c>
      <c r="P266" s="39" t="e">
        <f t="shared" si="23"/>
        <v>#DIV/0!</v>
      </c>
      <c r="Q266" s="11"/>
    </row>
    <row r="267" spans="2:17" x14ac:dyDescent="0.3">
      <c r="B267" s="30">
        <f>'Critérios de Seleção de Fornece'!B267</f>
        <v>262</v>
      </c>
      <c r="C267" s="30">
        <f>'Critérios de Seleção de Fornece'!C267</f>
        <v>0</v>
      </c>
      <c r="D267" s="30">
        <f>'Critérios de Seleção de Fornece'!H267</f>
        <v>0</v>
      </c>
      <c r="E267" s="30">
        <f>'Critérios de Seleção de Fornece'!I267</f>
        <v>0</v>
      </c>
      <c r="F267" s="30" t="e">
        <f>'Critérios de Seleção de Fornece'!L267</f>
        <v>#DIV/0!</v>
      </c>
      <c r="G267" s="30" t="e">
        <f>'Critérios de Seleção de Fornece'!O267</f>
        <v>#DIV/0!</v>
      </c>
      <c r="H267" s="30">
        <f>'Critérios de Seleção de Fornece'!Q267</f>
        <v>0</v>
      </c>
      <c r="I267" s="30" t="e">
        <f>'Critérios de Seleção de Fornece'!T267</f>
        <v>#DIV/0!</v>
      </c>
      <c r="J267" s="30" t="e">
        <f>'Critérios de Seleção de Fornece'!W267</f>
        <v>#DIV/0!</v>
      </c>
      <c r="K267" s="31" t="e">
        <f t="shared" si="20"/>
        <v>#DIV/0!</v>
      </c>
      <c r="L267" s="14"/>
      <c r="M267" s="14"/>
      <c r="N267" s="33">
        <f t="shared" si="21"/>
        <v>3</v>
      </c>
      <c r="O267" s="34" t="e">
        <f t="shared" si="22"/>
        <v>#DIV/0!</v>
      </c>
      <c r="P267" s="39" t="e">
        <f t="shared" si="23"/>
        <v>#DIV/0!</v>
      </c>
      <c r="Q267" s="11"/>
    </row>
    <row r="268" spans="2:17" x14ac:dyDescent="0.3">
      <c r="B268" s="30">
        <f>'Critérios de Seleção de Fornece'!B268</f>
        <v>263</v>
      </c>
      <c r="C268" s="30">
        <f>'Critérios de Seleção de Fornece'!C268</f>
        <v>0</v>
      </c>
      <c r="D268" s="30">
        <f>'Critérios de Seleção de Fornece'!H268</f>
        <v>0</v>
      </c>
      <c r="E268" s="30">
        <f>'Critérios de Seleção de Fornece'!I268</f>
        <v>0</v>
      </c>
      <c r="F268" s="30" t="e">
        <f>'Critérios de Seleção de Fornece'!L268</f>
        <v>#DIV/0!</v>
      </c>
      <c r="G268" s="30" t="e">
        <f>'Critérios de Seleção de Fornece'!O268</f>
        <v>#DIV/0!</v>
      </c>
      <c r="H268" s="30">
        <f>'Critérios de Seleção de Fornece'!Q268</f>
        <v>0</v>
      </c>
      <c r="I268" s="30" t="e">
        <f>'Critérios de Seleção de Fornece'!T268</f>
        <v>#DIV/0!</v>
      </c>
      <c r="J268" s="30" t="e">
        <f>'Critérios de Seleção de Fornece'!W268</f>
        <v>#DIV/0!</v>
      </c>
      <c r="K268" s="31" t="e">
        <f t="shared" si="20"/>
        <v>#DIV/0!</v>
      </c>
      <c r="L268" s="14"/>
      <c r="M268" s="14"/>
      <c r="N268" s="33">
        <f t="shared" si="21"/>
        <v>3</v>
      </c>
      <c r="O268" s="34" t="e">
        <f t="shared" si="22"/>
        <v>#DIV/0!</v>
      </c>
      <c r="P268" s="39" t="e">
        <f t="shared" si="23"/>
        <v>#DIV/0!</v>
      </c>
      <c r="Q268" s="11"/>
    </row>
    <row r="269" spans="2:17" x14ac:dyDescent="0.3">
      <c r="B269" s="30">
        <f>'Critérios de Seleção de Fornece'!B269</f>
        <v>264</v>
      </c>
      <c r="C269" s="30">
        <f>'Critérios de Seleção de Fornece'!C269</f>
        <v>0</v>
      </c>
      <c r="D269" s="30">
        <f>'Critérios de Seleção de Fornece'!H269</f>
        <v>0</v>
      </c>
      <c r="E269" s="30">
        <f>'Critérios de Seleção de Fornece'!I269</f>
        <v>0</v>
      </c>
      <c r="F269" s="30" t="e">
        <f>'Critérios de Seleção de Fornece'!L269</f>
        <v>#DIV/0!</v>
      </c>
      <c r="G269" s="30" t="e">
        <f>'Critérios de Seleção de Fornece'!O269</f>
        <v>#DIV/0!</v>
      </c>
      <c r="H269" s="30">
        <f>'Critérios de Seleção de Fornece'!Q269</f>
        <v>0</v>
      </c>
      <c r="I269" s="30" t="e">
        <f>'Critérios de Seleção de Fornece'!T269</f>
        <v>#DIV/0!</v>
      </c>
      <c r="J269" s="30" t="e">
        <f>'Critérios de Seleção de Fornece'!W269</f>
        <v>#DIV/0!</v>
      </c>
      <c r="K269" s="31" t="e">
        <f t="shared" si="20"/>
        <v>#DIV/0!</v>
      </c>
      <c r="L269" s="14"/>
      <c r="M269" s="14"/>
      <c r="N269" s="33">
        <f t="shared" si="21"/>
        <v>3</v>
      </c>
      <c r="O269" s="34" t="e">
        <f t="shared" si="22"/>
        <v>#DIV/0!</v>
      </c>
      <c r="P269" s="39" t="e">
        <f t="shared" si="23"/>
        <v>#DIV/0!</v>
      </c>
      <c r="Q269" s="11"/>
    </row>
    <row r="270" spans="2:17" x14ac:dyDescent="0.3">
      <c r="B270" s="30">
        <f>'Critérios de Seleção de Fornece'!B270</f>
        <v>265</v>
      </c>
      <c r="C270" s="30">
        <f>'Critérios de Seleção de Fornece'!C270</f>
        <v>0</v>
      </c>
      <c r="D270" s="30">
        <f>'Critérios de Seleção de Fornece'!H270</f>
        <v>0</v>
      </c>
      <c r="E270" s="30">
        <f>'Critérios de Seleção de Fornece'!I270</f>
        <v>0</v>
      </c>
      <c r="F270" s="30" t="e">
        <f>'Critérios de Seleção de Fornece'!L270</f>
        <v>#DIV/0!</v>
      </c>
      <c r="G270" s="30" t="e">
        <f>'Critérios de Seleção de Fornece'!O270</f>
        <v>#DIV/0!</v>
      </c>
      <c r="H270" s="30">
        <f>'Critérios de Seleção de Fornece'!Q270</f>
        <v>0</v>
      </c>
      <c r="I270" s="30" t="e">
        <f>'Critérios de Seleção de Fornece'!T270</f>
        <v>#DIV/0!</v>
      </c>
      <c r="J270" s="30" t="e">
        <f>'Critérios de Seleção de Fornece'!W270</f>
        <v>#DIV/0!</v>
      </c>
      <c r="K270" s="31" t="e">
        <f t="shared" si="20"/>
        <v>#DIV/0!</v>
      </c>
      <c r="L270" s="14"/>
      <c r="M270" s="14"/>
      <c r="N270" s="33">
        <f t="shared" si="21"/>
        <v>3</v>
      </c>
      <c r="O270" s="34" t="e">
        <f t="shared" si="22"/>
        <v>#DIV/0!</v>
      </c>
      <c r="P270" s="39" t="e">
        <f t="shared" si="23"/>
        <v>#DIV/0!</v>
      </c>
      <c r="Q270" s="11"/>
    </row>
    <row r="271" spans="2:17" x14ac:dyDescent="0.3">
      <c r="B271" s="30">
        <f>'Critérios de Seleção de Fornece'!B271</f>
        <v>266</v>
      </c>
      <c r="C271" s="30">
        <f>'Critérios de Seleção de Fornece'!C271</f>
        <v>0</v>
      </c>
      <c r="D271" s="30">
        <f>'Critérios de Seleção de Fornece'!H271</f>
        <v>0</v>
      </c>
      <c r="E271" s="30">
        <f>'Critérios de Seleção de Fornece'!I271</f>
        <v>0</v>
      </c>
      <c r="F271" s="30" t="e">
        <f>'Critérios de Seleção de Fornece'!L271</f>
        <v>#DIV/0!</v>
      </c>
      <c r="G271" s="30" t="e">
        <f>'Critérios de Seleção de Fornece'!O271</f>
        <v>#DIV/0!</v>
      </c>
      <c r="H271" s="30">
        <f>'Critérios de Seleção de Fornece'!Q271</f>
        <v>0</v>
      </c>
      <c r="I271" s="30" t="e">
        <f>'Critérios de Seleção de Fornece'!T271</f>
        <v>#DIV/0!</v>
      </c>
      <c r="J271" s="30" t="e">
        <f>'Critérios de Seleção de Fornece'!W271</f>
        <v>#DIV/0!</v>
      </c>
      <c r="K271" s="31" t="e">
        <f t="shared" si="20"/>
        <v>#DIV/0!</v>
      </c>
      <c r="L271" s="14"/>
      <c r="M271" s="14"/>
      <c r="N271" s="33">
        <f t="shared" si="21"/>
        <v>3</v>
      </c>
      <c r="O271" s="34" t="e">
        <f t="shared" si="22"/>
        <v>#DIV/0!</v>
      </c>
      <c r="P271" s="39" t="e">
        <f t="shared" si="23"/>
        <v>#DIV/0!</v>
      </c>
      <c r="Q271" s="11"/>
    </row>
    <row r="272" spans="2:17" x14ac:dyDescent="0.3">
      <c r="B272" s="30">
        <f>'Critérios de Seleção de Fornece'!B272</f>
        <v>267</v>
      </c>
      <c r="C272" s="30">
        <f>'Critérios de Seleção de Fornece'!C272</f>
        <v>0</v>
      </c>
      <c r="D272" s="30">
        <f>'Critérios de Seleção de Fornece'!H272</f>
        <v>0</v>
      </c>
      <c r="E272" s="30">
        <f>'Critérios de Seleção de Fornece'!I272</f>
        <v>0</v>
      </c>
      <c r="F272" s="30" t="e">
        <f>'Critérios de Seleção de Fornece'!L272</f>
        <v>#DIV/0!</v>
      </c>
      <c r="G272" s="30" t="e">
        <f>'Critérios de Seleção de Fornece'!O272</f>
        <v>#DIV/0!</v>
      </c>
      <c r="H272" s="30">
        <f>'Critérios de Seleção de Fornece'!Q272</f>
        <v>0</v>
      </c>
      <c r="I272" s="30" t="e">
        <f>'Critérios de Seleção de Fornece'!T272</f>
        <v>#DIV/0!</v>
      </c>
      <c r="J272" s="30" t="e">
        <f>'Critérios de Seleção de Fornece'!W272</f>
        <v>#DIV/0!</v>
      </c>
      <c r="K272" s="31" t="e">
        <f t="shared" si="20"/>
        <v>#DIV/0!</v>
      </c>
      <c r="L272" s="14"/>
      <c r="M272" s="14"/>
      <c r="N272" s="33">
        <f t="shared" si="21"/>
        <v>3</v>
      </c>
      <c r="O272" s="34" t="e">
        <f t="shared" si="22"/>
        <v>#DIV/0!</v>
      </c>
      <c r="P272" s="39" t="e">
        <f t="shared" si="23"/>
        <v>#DIV/0!</v>
      </c>
      <c r="Q272" s="11"/>
    </row>
    <row r="273" spans="2:17" x14ac:dyDescent="0.3">
      <c r="B273" s="30">
        <f>'Critérios de Seleção de Fornece'!B273</f>
        <v>268</v>
      </c>
      <c r="C273" s="30">
        <f>'Critérios de Seleção de Fornece'!C273</f>
        <v>0</v>
      </c>
      <c r="D273" s="30">
        <f>'Critérios de Seleção de Fornece'!H273</f>
        <v>0</v>
      </c>
      <c r="E273" s="30">
        <f>'Critérios de Seleção de Fornece'!I273</f>
        <v>0</v>
      </c>
      <c r="F273" s="30" t="e">
        <f>'Critérios de Seleção de Fornece'!L273</f>
        <v>#DIV/0!</v>
      </c>
      <c r="G273" s="30" t="e">
        <f>'Critérios de Seleção de Fornece'!O273</f>
        <v>#DIV/0!</v>
      </c>
      <c r="H273" s="30">
        <f>'Critérios de Seleção de Fornece'!Q273</f>
        <v>0</v>
      </c>
      <c r="I273" s="30" t="e">
        <f>'Critérios de Seleção de Fornece'!T273</f>
        <v>#DIV/0!</v>
      </c>
      <c r="J273" s="30" t="e">
        <f>'Critérios de Seleção de Fornece'!W273</f>
        <v>#DIV/0!</v>
      </c>
      <c r="K273" s="31" t="e">
        <f t="shared" si="20"/>
        <v>#DIV/0!</v>
      </c>
      <c r="L273" s="14"/>
      <c r="M273" s="14"/>
      <c r="N273" s="33">
        <f t="shared" si="21"/>
        <v>3</v>
      </c>
      <c r="O273" s="34" t="e">
        <f t="shared" si="22"/>
        <v>#DIV/0!</v>
      </c>
      <c r="P273" s="39" t="e">
        <f t="shared" si="23"/>
        <v>#DIV/0!</v>
      </c>
      <c r="Q273" s="11"/>
    </row>
    <row r="274" spans="2:17" x14ac:dyDescent="0.3">
      <c r="B274" s="30">
        <f>'Critérios de Seleção de Fornece'!B274</f>
        <v>269</v>
      </c>
      <c r="C274" s="30">
        <f>'Critérios de Seleção de Fornece'!C274</f>
        <v>0</v>
      </c>
      <c r="D274" s="30">
        <f>'Critérios de Seleção de Fornece'!H274</f>
        <v>0</v>
      </c>
      <c r="E274" s="30">
        <f>'Critérios de Seleção de Fornece'!I274</f>
        <v>0</v>
      </c>
      <c r="F274" s="30" t="e">
        <f>'Critérios de Seleção de Fornece'!L274</f>
        <v>#DIV/0!</v>
      </c>
      <c r="G274" s="30" t="e">
        <f>'Critérios de Seleção de Fornece'!O274</f>
        <v>#DIV/0!</v>
      </c>
      <c r="H274" s="30">
        <f>'Critérios de Seleção de Fornece'!Q274</f>
        <v>0</v>
      </c>
      <c r="I274" s="30" t="e">
        <f>'Critérios de Seleção de Fornece'!T274</f>
        <v>#DIV/0!</v>
      </c>
      <c r="J274" s="30" t="e">
        <f>'Critérios de Seleção de Fornece'!W274</f>
        <v>#DIV/0!</v>
      </c>
      <c r="K274" s="31" t="e">
        <f t="shared" si="20"/>
        <v>#DIV/0!</v>
      </c>
      <c r="L274" s="14"/>
      <c r="M274" s="14"/>
      <c r="N274" s="33">
        <f t="shared" si="21"/>
        <v>3</v>
      </c>
      <c r="O274" s="34" t="e">
        <f t="shared" si="22"/>
        <v>#DIV/0!</v>
      </c>
      <c r="P274" s="39" t="e">
        <f t="shared" si="23"/>
        <v>#DIV/0!</v>
      </c>
      <c r="Q274" s="11"/>
    </row>
    <row r="275" spans="2:17" x14ac:dyDescent="0.3">
      <c r="B275" s="30">
        <f>'Critérios de Seleção de Fornece'!B275</f>
        <v>270</v>
      </c>
      <c r="C275" s="30">
        <f>'Critérios de Seleção de Fornece'!C275</f>
        <v>0</v>
      </c>
      <c r="D275" s="30">
        <f>'Critérios de Seleção de Fornece'!H275</f>
        <v>0</v>
      </c>
      <c r="E275" s="30">
        <f>'Critérios de Seleção de Fornece'!I275</f>
        <v>0</v>
      </c>
      <c r="F275" s="30" t="e">
        <f>'Critérios de Seleção de Fornece'!L275</f>
        <v>#DIV/0!</v>
      </c>
      <c r="G275" s="30" t="e">
        <f>'Critérios de Seleção de Fornece'!O275</f>
        <v>#DIV/0!</v>
      </c>
      <c r="H275" s="30">
        <f>'Critérios de Seleção de Fornece'!Q275</f>
        <v>0</v>
      </c>
      <c r="I275" s="30" t="e">
        <f>'Critérios de Seleção de Fornece'!T275</f>
        <v>#DIV/0!</v>
      </c>
      <c r="J275" s="30" t="e">
        <f>'Critérios de Seleção de Fornece'!W275</f>
        <v>#DIV/0!</v>
      </c>
      <c r="K275" s="31" t="e">
        <f t="shared" si="20"/>
        <v>#DIV/0!</v>
      </c>
      <c r="L275" s="14"/>
      <c r="M275" s="14"/>
      <c r="N275" s="33">
        <f t="shared" si="21"/>
        <v>3</v>
      </c>
      <c r="O275" s="34" t="e">
        <f t="shared" si="22"/>
        <v>#DIV/0!</v>
      </c>
      <c r="P275" s="39" t="e">
        <f t="shared" si="23"/>
        <v>#DIV/0!</v>
      </c>
      <c r="Q275" s="11"/>
    </row>
    <row r="276" spans="2:17" x14ac:dyDescent="0.3">
      <c r="B276" s="30">
        <f>'Critérios de Seleção de Fornece'!B276</f>
        <v>271</v>
      </c>
      <c r="C276" s="30">
        <f>'Critérios de Seleção de Fornece'!C276</f>
        <v>0</v>
      </c>
      <c r="D276" s="30">
        <f>'Critérios de Seleção de Fornece'!H276</f>
        <v>0</v>
      </c>
      <c r="E276" s="30">
        <f>'Critérios de Seleção de Fornece'!I276</f>
        <v>0</v>
      </c>
      <c r="F276" s="30" t="e">
        <f>'Critérios de Seleção de Fornece'!L276</f>
        <v>#DIV/0!</v>
      </c>
      <c r="G276" s="30" t="e">
        <f>'Critérios de Seleção de Fornece'!O276</f>
        <v>#DIV/0!</v>
      </c>
      <c r="H276" s="30">
        <f>'Critérios de Seleção de Fornece'!Q276</f>
        <v>0</v>
      </c>
      <c r="I276" s="30" t="e">
        <f>'Critérios de Seleção de Fornece'!T276</f>
        <v>#DIV/0!</v>
      </c>
      <c r="J276" s="30" t="e">
        <f>'Critérios de Seleção de Fornece'!W276</f>
        <v>#DIV/0!</v>
      </c>
      <c r="K276" s="31" t="e">
        <f t="shared" si="20"/>
        <v>#DIV/0!</v>
      </c>
      <c r="L276" s="14"/>
      <c r="M276" s="14"/>
      <c r="N276" s="33">
        <f t="shared" si="21"/>
        <v>3</v>
      </c>
      <c r="O276" s="34" t="e">
        <f t="shared" si="22"/>
        <v>#DIV/0!</v>
      </c>
      <c r="P276" s="39" t="e">
        <f t="shared" si="23"/>
        <v>#DIV/0!</v>
      </c>
      <c r="Q276" s="11"/>
    </row>
    <row r="277" spans="2:17" x14ac:dyDescent="0.3">
      <c r="B277" s="30">
        <f>'Critérios de Seleção de Fornece'!B277</f>
        <v>272</v>
      </c>
      <c r="C277" s="30">
        <f>'Critérios de Seleção de Fornece'!C277</f>
        <v>0</v>
      </c>
      <c r="D277" s="30">
        <f>'Critérios de Seleção de Fornece'!H277</f>
        <v>0</v>
      </c>
      <c r="E277" s="30">
        <f>'Critérios de Seleção de Fornece'!I277</f>
        <v>0</v>
      </c>
      <c r="F277" s="30" t="e">
        <f>'Critérios de Seleção de Fornece'!L277</f>
        <v>#DIV/0!</v>
      </c>
      <c r="G277" s="30" t="e">
        <f>'Critérios de Seleção de Fornece'!O277</f>
        <v>#DIV/0!</v>
      </c>
      <c r="H277" s="30">
        <f>'Critérios de Seleção de Fornece'!Q277</f>
        <v>0</v>
      </c>
      <c r="I277" s="30" t="e">
        <f>'Critérios de Seleção de Fornece'!T277</f>
        <v>#DIV/0!</v>
      </c>
      <c r="J277" s="30" t="e">
        <f>'Critérios de Seleção de Fornece'!W277</f>
        <v>#DIV/0!</v>
      </c>
      <c r="K277" s="31" t="e">
        <f t="shared" si="20"/>
        <v>#DIV/0!</v>
      </c>
      <c r="L277" s="14"/>
      <c r="M277" s="14"/>
      <c r="N277" s="33">
        <f t="shared" si="21"/>
        <v>3</v>
      </c>
      <c r="O277" s="34" t="e">
        <f t="shared" si="22"/>
        <v>#DIV/0!</v>
      </c>
      <c r="P277" s="39" t="e">
        <f t="shared" si="23"/>
        <v>#DIV/0!</v>
      </c>
      <c r="Q277" s="11"/>
    </row>
    <row r="278" spans="2:17" x14ac:dyDescent="0.3">
      <c r="B278" s="30">
        <f>'Critérios de Seleção de Fornece'!B278</f>
        <v>273</v>
      </c>
      <c r="C278" s="30">
        <f>'Critérios de Seleção de Fornece'!C278</f>
        <v>0</v>
      </c>
      <c r="D278" s="30">
        <f>'Critérios de Seleção de Fornece'!H278</f>
        <v>0</v>
      </c>
      <c r="E278" s="30">
        <f>'Critérios de Seleção de Fornece'!I278</f>
        <v>0</v>
      </c>
      <c r="F278" s="30" t="e">
        <f>'Critérios de Seleção de Fornece'!L278</f>
        <v>#DIV/0!</v>
      </c>
      <c r="G278" s="30" t="e">
        <f>'Critérios de Seleção de Fornece'!O278</f>
        <v>#DIV/0!</v>
      </c>
      <c r="H278" s="30">
        <f>'Critérios de Seleção de Fornece'!Q278</f>
        <v>0</v>
      </c>
      <c r="I278" s="30" t="e">
        <f>'Critérios de Seleção de Fornece'!T278</f>
        <v>#DIV/0!</v>
      </c>
      <c r="J278" s="30" t="e">
        <f>'Critérios de Seleção de Fornece'!W278</f>
        <v>#DIV/0!</v>
      </c>
      <c r="K278" s="31" t="e">
        <f t="shared" si="20"/>
        <v>#DIV/0!</v>
      </c>
      <c r="L278" s="14"/>
      <c r="M278" s="14"/>
      <c r="N278" s="33">
        <f t="shared" si="21"/>
        <v>3</v>
      </c>
      <c r="O278" s="34" t="e">
        <f t="shared" si="22"/>
        <v>#DIV/0!</v>
      </c>
      <c r="P278" s="39" t="e">
        <f t="shared" si="23"/>
        <v>#DIV/0!</v>
      </c>
      <c r="Q278" s="11"/>
    </row>
    <row r="279" spans="2:17" x14ac:dyDescent="0.3">
      <c r="B279" s="30">
        <f>'Critérios de Seleção de Fornece'!B279</f>
        <v>274</v>
      </c>
      <c r="C279" s="30">
        <f>'Critérios de Seleção de Fornece'!C279</f>
        <v>0</v>
      </c>
      <c r="D279" s="30">
        <f>'Critérios de Seleção de Fornece'!H279</f>
        <v>0</v>
      </c>
      <c r="E279" s="30">
        <f>'Critérios de Seleção de Fornece'!I279</f>
        <v>0</v>
      </c>
      <c r="F279" s="30" t="e">
        <f>'Critérios de Seleção de Fornece'!L279</f>
        <v>#DIV/0!</v>
      </c>
      <c r="G279" s="30" t="e">
        <f>'Critérios de Seleção de Fornece'!O279</f>
        <v>#DIV/0!</v>
      </c>
      <c r="H279" s="30">
        <f>'Critérios de Seleção de Fornece'!Q279</f>
        <v>0</v>
      </c>
      <c r="I279" s="30" t="e">
        <f>'Critérios de Seleção de Fornece'!T279</f>
        <v>#DIV/0!</v>
      </c>
      <c r="J279" s="30" t="e">
        <f>'Critérios de Seleção de Fornece'!W279</f>
        <v>#DIV/0!</v>
      </c>
      <c r="K279" s="31" t="e">
        <f t="shared" si="20"/>
        <v>#DIV/0!</v>
      </c>
      <c r="L279" s="14"/>
      <c r="M279" s="14"/>
      <c r="N279" s="33">
        <f t="shared" si="21"/>
        <v>3</v>
      </c>
      <c r="O279" s="34" t="e">
        <f t="shared" si="22"/>
        <v>#DIV/0!</v>
      </c>
      <c r="P279" s="39" t="e">
        <f t="shared" si="23"/>
        <v>#DIV/0!</v>
      </c>
      <c r="Q279" s="11"/>
    </row>
    <row r="280" spans="2:17" x14ac:dyDescent="0.3">
      <c r="B280" s="30">
        <f>'Critérios de Seleção de Fornece'!B280</f>
        <v>275</v>
      </c>
      <c r="C280" s="30">
        <f>'Critérios de Seleção de Fornece'!C280</f>
        <v>0</v>
      </c>
      <c r="D280" s="30">
        <f>'Critérios de Seleção de Fornece'!H280</f>
        <v>0</v>
      </c>
      <c r="E280" s="30">
        <f>'Critérios de Seleção de Fornece'!I280</f>
        <v>0</v>
      </c>
      <c r="F280" s="30" t="e">
        <f>'Critérios de Seleção de Fornece'!L280</f>
        <v>#DIV/0!</v>
      </c>
      <c r="G280" s="30" t="e">
        <f>'Critérios de Seleção de Fornece'!O280</f>
        <v>#DIV/0!</v>
      </c>
      <c r="H280" s="30">
        <f>'Critérios de Seleção de Fornece'!Q280</f>
        <v>0</v>
      </c>
      <c r="I280" s="30" t="e">
        <f>'Critérios de Seleção de Fornece'!T280</f>
        <v>#DIV/0!</v>
      </c>
      <c r="J280" s="30" t="e">
        <f>'Critérios de Seleção de Fornece'!W280</f>
        <v>#DIV/0!</v>
      </c>
      <c r="K280" s="31" t="e">
        <f t="shared" si="20"/>
        <v>#DIV/0!</v>
      </c>
      <c r="L280" s="14"/>
      <c r="M280" s="14"/>
      <c r="N280" s="33">
        <f t="shared" si="21"/>
        <v>3</v>
      </c>
      <c r="O280" s="34" t="e">
        <f t="shared" si="22"/>
        <v>#DIV/0!</v>
      </c>
      <c r="P280" s="39" t="e">
        <f t="shared" si="23"/>
        <v>#DIV/0!</v>
      </c>
      <c r="Q280" s="11"/>
    </row>
    <row r="281" spans="2:17" x14ac:dyDescent="0.3">
      <c r="B281" s="30">
        <f>'Critérios de Seleção de Fornece'!B281</f>
        <v>276</v>
      </c>
      <c r="C281" s="30">
        <f>'Critérios de Seleção de Fornece'!C281</f>
        <v>0</v>
      </c>
      <c r="D281" s="30">
        <f>'Critérios de Seleção de Fornece'!H281</f>
        <v>0</v>
      </c>
      <c r="E281" s="30">
        <f>'Critérios de Seleção de Fornece'!I281</f>
        <v>0</v>
      </c>
      <c r="F281" s="30" t="e">
        <f>'Critérios de Seleção de Fornece'!L281</f>
        <v>#DIV/0!</v>
      </c>
      <c r="G281" s="30" t="e">
        <f>'Critérios de Seleção de Fornece'!O281</f>
        <v>#DIV/0!</v>
      </c>
      <c r="H281" s="30">
        <f>'Critérios de Seleção de Fornece'!Q281</f>
        <v>0</v>
      </c>
      <c r="I281" s="30" t="e">
        <f>'Critérios de Seleção de Fornece'!T281</f>
        <v>#DIV/0!</v>
      </c>
      <c r="J281" s="30" t="e">
        <f>'Critérios de Seleção de Fornece'!W281</f>
        <v>#DIV/0!</v>
      </c>
      <c r="K281" s="31" t="e">
        <f t="shared" si="20"/>
        <v>#DIV/0!</v>
      </c>
      <c r="L281" s="14"/>
      <c r="M281" s="14"/>
      <c r="N281" s="33">
        <f t="shared" si="21"/>
        <v>3</v>
      </c>
      <c r="O281" s="34" t="e">
        <f t="shared" si="22"/>
        <v>#DIV/0!</v>
      </c>
      <c r="P281" s="39" t="e">
        <f t="shared" si="23"/>
        <v>#DIV/0!</v>
      </c>
      <c r="Q281" s="11"/>
    </row>
    <row r="282" spans="2:17" x14ac:dyDescent="0.3">
      <c r="B282" s="30">
        <f>'Critérios de Seleção de Fornece'!B282</f>
        <v>277</v>
      </c>
      <c r="C282" s="30">
        <f>'Critérios de Seleção de Fornece'!C282</f>
        <v>0</v>
      </c>
      <c r="D282" s="30">
        <f>'Critérios de Seleção de Fornece'!H282</f>
        <v>0</v>
      </c>
      <c r="E282" s="30">
        <f>'Critérios de Seleção de Fornece'!I282</f>
        <v>0</v>
      </c>
      <c r="F282" s="30" t="e">
        <f>'Critérios de Seleção de Fornece'!L282</f>
        <v>#DIV/0!</v>
      </c>
      <c r="G282" s="30" t="e">
        <f>'Critérios de Seleção de Fornece'!O282</f>
        <v>#DIV/0!</v>
      </c>
      <c r="H282" s="30">
        <f>'Critérios de Seleção de Fornece'!Q282</f>
        <v>0</v>
      </c>
      <c r="I282" s="30" t="e">
        <f>'Critérios de Seleção de Fornece'!T282</f>
        <v>#DIV/0!</v>
      </c>
      <c r="J282" s="30" t="e">
        <f>'Critérios de Seleção de Fornece'!W282</f>
        <v>#DIV/0!</v>
      </c>
      <c r="K282" s="31" t="e">
        <f t="shared" si="20"/>
        <v>#DIV/0!</v>
      </c>
      <c r="L282" s="14"/>
      <c r="M282" s="14"/>
      <c r="N282" s="33">
        <f t="shared" si="21"/>
        <v>3</v>
      </c>
      <c r="O282" s="34" t="e">
        <f t="shared" si="22"/>
        <v>#DIV/0!</v>
      </c>
      <c r="P282" s="39" t="e">
        <f t="shared" si="23"/>
        <v>#DIV/0!</v>
      </c>
      <c r="Q282" s="11"/>
    </row>
    <row r="283" spans="2:17" x14ac:dyDescent="0.3">
      <c r="B283" s="30">
        <f>'Critérios de Seleção de Fornece'!B283</f>
        <v>278</v>
      </c>
      <c r="C283" s="30">
        <f>'Critérios de Seleção de Fornece'!C283</f>
        <v>0</v>
      </c>
      <c r="D283" s="30">
        <f>'Critérios de Seleção de Fornece'!H283</f>
        <v>0</v>
      </c>
      <c r="E283" s="30">
        <f>'Critérios de Seleção de Fornece'!I283</f>
        <v>0</v>
      </c>
      <c r="F283" s="30" t="e">
        <f>'Critérios de Seleção de Fornece'!L283</f>
        <v>#DIV/0!</v>
      </c>
      <c r="G283" s="30" t="e">
        <f>'Critérios de Seleção de Fornece'!O283</f>
        <v>#DIV/0!</v>
      </c>
      <c r="H283" s="30">
        <f>'Critérios de Seleção de Fornece'!Q283</f>
        <v>0</v>
      </c>
      <c r="I283" s="30" t="e">
        <f>'Critérios de Seleção de Fornece'!T283</f>
        <v>#DIV/0!</v>
      </c>
      <c r="J283" s="30" t="e">
        <f>'Critérios de Seleção de Fornece'!W283</f>
        <v>#DIV/0!</v>
      </c>
      <c r="K283" s="31" t="e">
        <f t="shared" si="20"/>
        <v>#DIV/0!</v>
      </c>
      <c r="L283" s="14"/>
      <c r="M283" s="14"/>
      <c r="N283" s="33">
        <f t="shared" si="21"/>
        <v>3</v>
      </c>
      <c r="O283" s="34" t="e">
        <f t="shared" si="22"/>
        <v>#DIV/0!</v>
      </c>
      <c r="P283" s="39" t="e">
        <f t="shared" si="23"/>
        <v>#DIV/0!</v>
      </c>
      <c r="Q283" s="11"/>
    </row>
    <row r="284" spans="2:17" x14ac:dyDescent="0.3">
      <c r="B284" s="30">
        <f>'Critérios de Seleção de Fornece'!B284</f>
        <v>279</v>
      </c>
      <c r="C284" s="30">
        <f>'Critérios de Seleção de Fornece'!C284</f>
        <v>0</v>
      </c>
      <c r="D284" s="30">
        <f>'Critérios de Seleção de Fornece'!H284</f>
        <v>0</v>
      </c>
      <c r="E284" s="30">
        <f>'Critérios de Seleção de Fornece'!I284</f>
        <v>0</v>
      </c>
      <c r="F284" s="30" t="e">
        <f>'Critérios de Seleção de Fornece'!L284</f>
        <v>#DIV/0!</v>
      </c>
      <c r="G284" s="30" t="e">
        <f>'Critérios de Seleção de Fornece'!O284</f>
        <v>#DIV/0!</v>
      </c>
      <c r="H284" s="30">
        <f>'Critérios de Seleção de Fornece'!Q284</f>
        <v>0</v>
      </c>
      <c r="I284" s="30" t="e">
        <f>'Critérios de Seleção de Fornece'!T284</f>
        <v>#DIV/0!</v>
      </c>
      <c r="J284" s="30" t="e">
        <f>'Critérios de Seleção de Fornece'!W284</f>
        <v>#DIV/0!</v>
      </c>
      <c r="K284" s="31" t="e">
        <f t="shared" si="20"/>
        <v>#DIV/0!</v>
      </c>
      <c r="L284" s="14"/>
      <c r="M284" s="14"/>
      <c r="N284" s="33">
        <f t="shared" si="21"/>
        <v>3</v>
      </c>
      <c r="O284" s="34" t="e">
        <f t="shared" si="22"/>
        <v>#DIV/0!</v>
      </c>
      <c r="P284" s="39" t="e">
        <f t="shared" si="23"/>
        <v>#DIV/0!</v>
      </c>
      <c r="Q284" s="11"/>
    </row>
    <row r="285" spans="2:17" x14ac:dyDescent="0.3">
      <c r="B285" s="30">
        <f>'Critérios de Seleção de Fornece'!B285</f>
        <v>280</v>
      </c>
      <c r="C285" s="30">
        <f>'Critérios de Seleção de Fornece'!C285</f>
        <v>0</v>
      </c>
      <c r="D285" s="30">
        <f>'Critérios de Seleção de Fornece'!H285</f>
        <v>0</v>
      </c>
      <c r="E285" s="30">
        <f>'Critérios de Seleção de Fornece'!I285</f>
        <v>0</v>
      </c>
      <c r="F285" s="30" t="e">
        <f>'Critérios de Seleção de Fornece'!L285</f>
        <v>#DIV/0!</v>
      </c>
      <c r="G285" s="30" t="e">
        <f>'Critérios de Seleção de Fornece'!O285</f>
        <v>#DIV/0!</v>
      </c>
      <c r="H285" s="30">
        <f>'Critérios de Seleção de Fornece'!Q285</f>
        <v>0</v>
      </c>
      <c r="I285" s="30" t="e">
        <f>'Critérios de Seleção de Fornece'!T285</f>
        <v>#DIV/0!</v>
      </c>
      <c r="J285" s="30" t="e">
        <f>'Critérios de Seleção de Fornece'!W285</f>
        <v>#DIV/0!</v>
      </c>
      <c r="K285" s="31" t="e">
        <f t="shared" si="20"/>
        <v>#DIV/0!</v>
      </c>
      <c r="L285" s="14"/>
      <c r="M285" s="14"/>
      <c r="N285" s="33">
        <f t="shared" si="21"/>
        <v>3</v>
      </c>
      <c r="O285" s="34" t="e">
        <f t="shared" si="22"/>
        <v>#DIV/0!</v>
      </c>
      <c r="P285" s="39" t="e">
        <f t="shared" si="23"/>
        <v>#DIV/0!</v>
      </c>
      <c r="Q285" s="11"/>
    </row>
    <row r="286" spans="2:17" x14ac:dyDescent="0.3">
      <c r="B286" s="30">
        <f>'Critérios de Seleção de Fornece'!B286</f>
        <v>281</v>
      </c>
      <c r="C286" s="30">
        <f>'Critérios de Seleção de Fornece'!C286</f>
        <v>0</v>
      </c>
      <c r="D286" s="30">
        <f>'Critérios de Seleção de Fornece'!H286</f>
        <v>0</v>
      </c>
      <c r="E286" s="30">
        <f>'Critérios de Seleção de Fornece'!I286</f>
        <v>0</v>
      </c>
      <c r="F286" s="30" t="e">
        <f>'Critérios de Seleção de Fornece'!L286</f>
        <v>#DIV/0!</v>
      </c>
      <c r="G286" s="30" t="e">
        <f>'Critérios de Seleção de Fornece'!O286</f>
        <v>#DIV/0!</v>
      </c>
      <c r="H286" s="30">
        <f>'Critérios de Seleção de Fornece'!Q286</f>
        <v>0</v>
      </c>
      <c r="I286" s="30" t="e">
        <f>'Critérios de Seleção de Fornece'!T286</f>
        <v>#DIV/0!</v>
      </c>
      <c r="J286" s="30" t="e">
        <f>'Critérios de Seleção de Fornece'!W286</f>
        <v>#DIV/0!</v>
      </c>
      <c r="K286" s="31" t="e">
        <f t="shared" si="20"/>
        <v>#DIV/0!</v>
      </c>
      <c r="L286" s="14"/>
      <c r="M286" s="14"/>
      <c r="N286" s="33">
        <f t="shared" si="21"/>
        <v>3</v>
      </c>
      <c r="O286" s="34" t="e">
        <f t="shared" si="22"/>
        <v>#DIV/0!</v>
      </c>
      <c r="P286" s="39" t="e">
        <f t="shared" si="23"/>
        <v>#DIV/0!</v>
      </c>
      <c r="Q286" s="11"/>
    </row>
    <row r="287" spans="2:17" x14ac:dyDescent="0.3">
      <c r="B287" s="30">
        <f>'Critérios de Seleção de Fornece'!B287</f>
        <v>282</v>
      </c>
      <c r="C287" s="30">
        <f>'Critérios de Seleção de Fornece'!C287</f>
        <v>0</v>
      </c>
      <c r="D287" s="30">
        <f>'Critérios de Seleção de Fornece'!H287</f>
        <v>0</v>
      </c>
      <c r="E287" s="30">
        <f>'Critérios de Seleção de Fornece'!I287</f>
        <v>0</v>
      </c>
      <c r="F287" s="30" t="e">
        <f>'Critérios de Seleção de Fornece'!L287</f>
        <v>#DIV/0!</v>
      </c>
      <c r="G287" s="30" t="e">
        <f>'Critérios de Seleção de Fornece'!O287</f>
        <v>#DIV/0!</v>
      </c>
      <c r="H287" s="30">
        <f>'Critérios de Seleção de Fornece'!Q287</f>
        <v>0</v>
      </c>
      <c r="I287" s="30" t="e">
        <f>'Critérios de Seleção de Fornece'!T287</f>
        <v>#DIV/0!</v>
      </c>
      <c r="J287" s="30" t="e">
        <f>'Critérios de Seleção de Fornece'!W287</f>
        <v>#DIV/0!</v>
      </c>
      <c r="K287" s="31" t="e">
        <f t="shared" si="20"/>
        <v>#DIV/0!</v>
      </c>
      <c r="L287" s="14"/>
      <c r="M287" s="14"/>
      <c r="N287" s="33">
        <f t="shared" si="21"/>
        <v>3</v>
      </c>
      <c r="O287" s="34" t="e">
        <f t="shared" si="22"/>
        <v>#DIV/0!</v>
      </c>
      <c r="P287" s="39" t="e">
        <f t="shared" si="23"/>
        <v>#DIV/0!</v>
      </c>
      <c r="Q287" s="11"/>
    </row>
    <row r="288" spans="2:17" x14ac:dyDescent="0.3">
      <c r="B288" s="30">
        <f>'Critérios de Seleção de Fornece'!B288</f>
        <v>283</v>
      </c>
      <c r="C288" s="30">
        <f>'Critérios de Seleção de Fornece'!C288</f>
        <v>0</v>
      </c>
      <c r="D288" s="30">
        <f>'Critérios de Seleção de Fornece'!H288</f>
        <v>0</v>
      </c>
      <c r="E288" s="30">
        <f>'Critérios de Seleção de Fornece'!I288</f>
        <v>0</v>
      </c>
      <c r="F288" s="30" t="e">
        <f>'Critérios de Seleção de Fornece'!L288</f>
        <v>#DIV/0!</v>
      </c>
      <c r="G288" s="30" t="e">
        <f>'Critérios de Seleção de Fornece'!O288</f>
        <v>#DIV/0!</v>
      </c>
      <c r="H288" s="30">
        <f>'Critérios de Seleção de Fornece'!Q288</f>
        <v>0</v>
      </c>
      <c r="I288" s="30" t="e">
        <f>'Critérios de Seleção de Fornece'!T288</f>
        <v>#DIV/0!</v>
      </c>
      <c r="J288" s="30" t="e">
        <f>'Critérios de Seleção de Fornece'!W288</f>
        <v>#DIV/0!</v>
      </c>
      <c r="K288" s="31" t="e">
        <f t="shared" si="20"/>
        <v>#DIV/0!</v>
      </c>
      <c r="L288" s="14"/>
      <c r="M288" s="14"/>
      <c r="N288" s="33">
        <f t="shared" si="21"/>
        <v>3</v>
      </c>
      <c r="O288" s="34" t="e">
        <f t="shared" si="22"/>
        <v>#DIV/0!</v>
      </c>
      <c r="P288" s="39" t="e">
        <f t="shared" si="23"/>
        <v>#DIV/0!</v>
      </c>
      <c r="Q288" s="11"/>
    </row>
    <row r="289" spans="2:17" x14ac:dyDescent="0.3">
      <c r="B289" s="30">
        <f>'Critérios de Seleção de Fornece'!B289</f>
        <v>284</v>
      </c>
      <c r="C289" s="30">
        <f>'Critérios de Seleção de Fornece'!C289</f>
        <v>0</v>
      </c>
      <c r="D289" s="30">
        <f>'Critérios de Seleção de Fornece'!H289</f>
        <v>0</v>
      </c>
      <c r="E289" s="30">
        <f>'Critérios de Seleção de Fornece'!I289</f>
        <v>0</v>
      </c>
      <c r="F289" s="30" t="e">
        <f>'Critérios de Seleção de Fornece'!L289</f>
        <v>#DIV/0!</v>
      </c>
      <c r="G289" s="30" t="e">
        <f>'Critérios de Seleção de Fornece'!O289</f>
        <v>#DIV/0!</v>
      </c>
      <c r="H289" s="30">
        <f>'Critérios de Seleção de Fornece'!Q289</f>
        <v>0</v>
      </c>
      <c r="I289" s="30" t="e">
        <f>'Critérios de Seleção de Fornece'!T289</f>
        <v>#DIV/0!</v>
      </c>
      <c r="J289" s="30" t="e">
        <f>'Critérios de Seleção de Fornece'!W289</f>
        <v>#DIV/0!</v>
      </c>
      <c r="K289" s="31" t="e">
        <f t="shared" si="20"/>
        <v>#DIV/0!</v>
      </c>
      <c r="L289" s="14"/>
      <c r="M289" s="14"/>
      <c r="N289" s="33">
        <f t="shared" si="21"/>
        <v>3</v>
      </c>
      <c r="O289" s="34" t="e">
        <f t="shared" si="22"/>
        <v>#DIV/0!</v>
      </c>
      <c r="P289" s="39" t="e">
        <f t="shared" si="23"/>
        <v>#DIV/0!</v>
      </c>
      <c r="Q289" s="11"/>
    </row>
    <row r="290" spans="2:17" x14ac:dyDescent="0.3">
      <c r="B290" s="30">
        <f>'Critérios de Seleção de Fornece'!B290</f>
        <v>285</v>
      </c>
      <c r="C290" s="30">
        <f>'Critérios de Seleção de Fornece'!C290</f>
        <v>0</v>
      </c>
      <c r="D290" s="30">
        <f>'Critérios de Seleção de Fornece'!H290</f>
        <v>0</v>
      </c>
      <c r="E290" s="30">
        <f>'Critérios de Seleção de Fornece'!I290</f>
        <v>0</v>
      </c>
      <c r="F290" s="30" t="e">
        <f>'Critérios de Seleção de Fornece'!L290</f>
        <v>#DIV/0!</v>
      </c>
      <c r="G290" s="30" t="e">
        <f>'Critérios de Seleção de Fornece'!O290</f>
        <v>#DIV/0!</v>
      </c>
      <c r="H290" s="30">
        <f>'Critérios de Seleção de Fornece'!Q290</f>
        <v>0</v>
      </c>
      <c r="I290" s="30" t="e">
        <f>'Critérios de Seleção de Fornece'!T290</f>
        <v>#DIV/0!</v>
      </c>
      <c r="J290" s="30" t="e">
        <f>'Critérios de Seleção de Fornece'!W290</f>
        <v>#DIV/0!</v>
      </c>
      <c r="K290" s="31" t="e">
        <f t="shared" si="20"/>
        <v>#DIV/0!</v>
      </c>
      <c r="L290" s="14"/>
      <c r="M290" s="14"/>
      <c r="N290" s="33">
        <f t="shared" si="21"/>
        <v>3</v>
      </c>
      <c r="O290" s="34" t="e">
        <f t="shared" si="22"/>
        <v>#DIV/0!</v>
      </c>
      <c r="P290" s="39" t="e">
        <f t="shared" si="23"/>
        <v>#DIV/0!</v>
      </c>
      <c r="Q290" s="11"/>
    </row>
    <row r="291" spans="2:17" x14ac:dyDescent="0.3">
      <c r="B291" s="30">
        <f>'Critérios de Seleção de Fornece'!B291</f>
        <v>286</v>
      </c>
      <c r="C291" s="30">
        <f>'Critérios de Seleção de Fornece'!C291</f>
        <v>0</v>
      </c>
      <c r="D291" s="30">
        <f>'Critérios de Seleção de Fornece'!H291</f>
        <v>0</v>
      </c>
      <c r="E291" s="30">
        <f>'Critérios de Seleção de Fornece'!I291</f>
        <v>0</v>
      </c>
      <c r="F291" s="30" t="e">
        <f>'Critérios de Seleção de Fornece'!L291</f>
        <v>#DIV/0!</v>
      </c>
      <c r="G291" s="30" t="e">
        <f>'Critérios de Seleção de Fornece'!O291</f>
        <v>#DIV/0!</v>
      </c>
      <c r="H291" s="30">
        <f>'Critérios de Seleção de Fornece'!Q291</f>
        <v>0</v>
      </c>
      <c r="I291" s="30" t="e">
        <f>'Critérios de Seleção de Fornece'!T291</f>
        <v>#DIV/0!</v>
      </c>
      <c r="J291" s="30" t="e">
        <f>'Critérios de Seleção de Fornece'!W291</f>
        <v>#DIV/0!</v>
      </c>
      <c r="K291" s="31" t="e">
        <f t="shared" si="20"/>
        <v>#DIV/0!</v>
      </c>
      <c r="L291" s="14"/>
      <c r="M291" s="14"/>
      <c r="N291" s="33">
        <f t="shared" si="21"/>
        <v>3</v>
      </c>
      <c r="O291" s="34" t="e">
        <f t="shared" si="22"/>
        <v>#DIV/0!</v>
      </c>
      <c r="P291" s="39" t="e">
        <f t="shared" si="23"/>
        <v>#DIV/0!</v>
      </c>
      <c r="Q291" s="11"/>
    </row>
    <row r="292" spans="2:17" x14ac:dyDescent="0.3">
      <c r="B292" s="30">
        <f>'Critérios de Seleção de Fornece'!B292</f>
        <v>287</v>
      </c>
      <c r="C292" s="30">
        <f>'Critérios de Seleção de Fornece'!C292</f>
        <v>0</v>
      </c>
      <c r="D292" s="30">
        <f>'Critérios de Seleção de Fornece'!H292</f>
        <v>0</v>
      </c>
      <c r="E292" s="30">
        <f>'Critérios de Seleção de Fornece'!I292</f>
        <v>0</v>
      </c>
      <c r="F292" s="30" t="e">
        <f>'Critérios de Seleção de Fornece'!L292</f>
        <v>#DIV/0!</v>
      </c>
      <c r="G292" s="30" t="e">
        <f>'Critérios de Seleção de Fornece'!O292</f>
        <v>#DIV/0!</v>
      </c>
      <c r="H292" s="30">
        <f>'Critérios de Seleção de Fornece'!Q292</f>
        <v>0</v>
      </c>
      <c r="I292" s="30" t="e">
        <f>'Critérios de Seleção de Fornece'!T292</f>
        <v>#DIV/0!</v>
      </c>
      <c r="J292" s="30" t="e">
        <f>'Critérios de Seleção de Fornece'!W292</f>
        <v>#DIV/0!</v>
      </c>
      <c r="K292" s="31" t="e">
        <f t="shared" si="20"/>
        <v>#DIV/0!</v>
      </c>
      <c r="L292" s="14"/>
      <c r="M292" s="14"/>
      <c r="N292" s="33">
        <f t="shared" si="21"/>
        <v>3</v>
      </c>
      <c r="O292" s="34" t="e">
        <f t="shared" si="22"/>
        <v>#DIV/0!</v>
      </c>
      <c r="P292" s="39" t="e">
        <f t="shared" si="23"/>
        <v>#DIV/0!</v>
      </c>
      <c r="Q292" s="11"/>
    </row>
    <row r="293" spans="2:17" x14ac:dyDescent="0.3">
      <c r="B293" s="30">
        <f>'Critérios de Seleção de Fornece'!B293</f>
        <v>288</v>
      </c>
      <c r="C293" s="30">
        <f>'Critérios de Seleção de Fornece'!C293</f>
        <v>0</v>
      </c>
      <c r="D293" s="30">
        <f>'Critérios de Seleção de Fornece'!H293</f>
        <v>0</v>
      </c>
      <c r="E293" s="30">
        <f>'Critérios de Seleção de Fornece'!I293</f>
        <v>0</v>
      </c>
      <c r="F293" s="30" t="e">
        <f>'Critérios de Seleção de Fornece'!L293</f>
        <v>#DIV/0!</v>
      </c>
      <c r="G293" s="30" t="e">
        <f>'Critérios de Seleção de Fornece'!O293</f>
        <v>#DIV/0!</v>
      </c>
      <c r="H293" s="30">
        <f>'Critérios de Seleção de Fornece'!Q293</f>
        <v>0</v>
      </c>
      <c r="I293" s="30" t="e">
        <f>'Critérios de Seleção de Fornece'!T293</f>
        <v>#DIV/0!</v>
      </c>
      <c r="J293" s="30" t="e">
        <f>'Critérios de Seleção de Fornece'!W293</f>
        <v>#DIV/0!</v>
      </c>
      <c r="K293" s="31" t="e">
        <f t="shared" si="20"/>
        <v>#DIV/0!</v>
      </c>
      <c r="L293" s="14"/>
      <c r="M293" s="14"/>
      <c r="N293" s="33">
        <f t="shared" si="21"/>
        <v>3</v>
      </c>
      <c r="O293" s="34" t="e">
        <f t="shared" si="22"/>
        <v>#DIV/0!</v>
      </c>
      <c r="P293" s="39" t="e">
        <f t="shared" si="23"/>
        <v>#DIV/0!</v>
      </c>
      <c r="Q293" s="11"/>
    </row>
    <row r="294" spans="2:17" x14ac:dyDescent="0.3">
      <c r="B294" s="30">
        <f>'Critérios de Seleção de Fornece'!B294</f>
        <v>289</v>
      </c>
      <c r="C294" s="30">
        <f>'Critérios de Seleção de Fornece'!C294</f>
        <v>0</v>
      </c>
      <c r="D294" s="30">
        <f>'Critérios de Seleção de Fornece'!H294</f>
        <v>0</v>
      </c>
      <c r="E294" s="30">
        <f>'Critérios de Seleção de Fornece'!I294</f>
        <v>0</v>
      </c>
      <c r="F294" s="30" t="e">
        <f>'Critérios de Seleção de Fornece'!L294</f>
        <v>#DIV/0!</v>
      </c>
      <c r="G294" s="30" t="e">
        <f>'Critérios de Seleção de Fornece'!O294</f>
        <v>#DIV/0!</v>
      </c>
      <c r="H294" s="30">
        <f>'Critérios de Seleção de Fornece'!Q294</f>
        <v>0</v>
      </c>
      <c r="I294" s="30" t="e">
        <f>'Critérios de Seleção de Fornece'!T294</f>
        <v>#DIV/0!</v>
      </c>
      <c r="J294" s="30" t="e">
        <f>'Critérios de Seleção de Fornece'!W294</f>
        <v>#DIV/0!</v>
      </c>
      <c r="K294" s="31" t="e">
        <f t="shared" si="20"/>
        <v>#DIV/0!</v>
      </c>
      <c r="L294" s="14"/>
      <c r="M294" s="14"/>
      <c r="N294" s="33">
        <f t="shared" si="21"/>
        <v>3</v>
      </c>
      <c r="O294" s="34" t="e">
        <f t="shared" si="22"/>
        <v>#DIV/0!</v>
      </c>
      <c r="P294" s="39" t="e">
        <f t="shared" si="23"/>
        <v>#DIV/0!</v>
      </c>
      <c r="Q294" s="11"/>
    </row>
    <row r="295" spans="2:17" x14ac:dyDescent="0.3">
      <c r="B295" s="30">
        <f>'Critérios de Seleção de Fornece'!B295</f>
        <v>290</v>
      </c>
      <c r="C295" s="30">
        <f>'Critérios de Seleção de Fornece'!C295</f>
        <v>0</v>
      </c>
      <c r="D295" s="30">
        <f>'Critérios de Seleção de Fornece'!H295</f>
        <v>0</v>
      </c>
      <c r="E295" s="30">
        <f>'Critérios de Seleção de Fornece'!I295</f>
        <v>0</v>
      </c>
      <c r="F295" s="30" t="e">
        <f>'Critérios de Seleção de Fornece'!L295</f>
        <v>#DIV/0!</v>
      </c>
      <c r="G295" s="30" t="e">
        <f>'Critérios de Seleção de Fornece'!O295</f>
        <v>#DIV/0!</v>
      </c>
      <c r="H295" s="30">
        <f>'Critérios de Seleção de Fornece'!Q295</f>
        <v>0</v>
      </c>
      <c r="I295" s="30" t="e">
        <f>'Critérios de Seleção de Fornece'!T295</f>
        <v>#DIV/0!</v>
      </c>
      <c r="J295" s="30" t="e">
        <f>'Critérios de Seleção de Fornece'!W295</f>
        <v>#DIV/0!</v>
      </c>
      <c r="K295" s="31" t="e">
        <f t="shared" si="20"/>
        <v>#DIV/0!</v>
      </c>
      <c r="L295" s="14"/>
      <c r="M295" s="14"/>
      <c r="N295" s="33">
        <f t="shared" si="21"/>
        <v>3</v>
      </c>
      <c r="O295" s="34" t="e">
        <f t="shared" si="22"/>
        <v>#DIV/0!</v>
      </c>
      <c r="P295" s="39" t="e">
        <f t="shared" si="23"/>
        <v>#DIV/0!</v>
      </c>
      <c r="Q295" s="11"/>
    </row>
    <row r="296" spans="2:17" x14ac:dyDescent="0.3">
      <c r="B296" s="30">
        <f>'Critérios de Seleção de Fornece'!B296</f>
        <v>291</v>
      </c>
      <c r="C296" s="30">
        <f>'Critérios de Seleção de Fornece'!C296</f>
        <v>0</v>
      </c>
      <c r="D296" s="30">
        <f>'Critérios de Seleção de Fornece'!H296</f>
        <v>0</v>
      </c>
      <c r="E296" s="30">
        <f>'Critérios de Seleção de Fornece'!I296</f>
        <v>0</v>
      </c>
      <c r="F296" s="30" t="e">
        <f>'Critérios de Seleção de Fornece'!L296</f>
        <v>#DIV/0!</v>
      </c>
      <c r="G296" s="30" t="e">
        <f>'Critérios de Seleção de Fornece'!O296</f>
        <v>#DIV/0!</v>
      </c>
      <c r="H296" s="30">
        <f>'Critérios de Seleção de Fornece'!Q296</f>
        <v>0</v>
      </c>
      <c r="I296" s="30" t="e">
        <f>'Critérios de Seleção de Fornece'!T296</f>
        <v>#DIV/0!</v>
      </c>
      <c r="J296" s="30" t="e">
        <f>'Critérios de Seleção de Fornece'!W296</f>
        <v>#DIV/0!</v>
      </c>
      <c r="K296" s="31" t="e">
        <f t="shared" si="20"/>
        <v>#DIV/0!</v>
      </c>
      <c r="L296" s="14"/>
      <c r="M296" s="14"/>
      <c r="N296" s="33">
        <f t="shared" si="21"/>
        <v>3</v>
      </c>
      <c r="O296" s="34" t="e">
        <f t="shared" si="22"/>
        <v>#DIV/0!</v>
      </c>
      <c r="P296" s="39" t="e">
        <f t="shared" si="23"/>
        <v>#DIV/0!</v>
      </c>
      <c r="Q296" s="11"/>
    </row>
    <row r="297" spans="2:17" x14ac:dyDescent="0.3">
      <c r="B297" s="30">
        <f>'Critérios de Seleção de Fornece'!B297</f>
        <v>292</v>
      </c>
      <c r="C297" s="30">
        <f>'Critérios de Seleção de Fornece'!C297</f>
        <v>0</v>
      </c>
      <c r="D297" s="30">
        <f>'Critérios de Seleção de Fornece'!H297</f>
        <v>0</v>
      </c>
      <c r="E297" s="30">
        <f>'Critérios de Seleção de Fornece'!I297</f>
        <v>0</v>
      </c>
      <c r="F297" s="30" t="e">
        <f>'Critérios de Seleção de Fornece'!L297</f>
        <v>#DIV/0!</v>
      </c>
      <c r="G297" s="30" t="e">
        <f>'Critérios de Seleção de Fornece'!O297</f>
        <v>#DIV/0!</v>
      </c>
      <c r="H297" s="30">
        <f>'Critérios de Seleção de Fornece'!Q297</f>
        <v>0</v>
      </c>
      <c r="I297" s="30" t="e">
        <f>'Critérios de Seleção de Fornece'!T297</f>
        <v>#DIV/0!</v>
      </c>
      <c r="J297" s="30" t="e">
        <f>'Critérios de Seleção de Fornece'!W297</f>
        <v>#DIV/0!</v>
      </c>
      <c r="K297" s="31" t="e">
        <f t="shared" si="20"/>
        <v>#DIV/0!</v>
      </c>
      <c r="L297" s="14"/>
      <c r="M297" s="14"/>
      <c r="N297" s="33">
        <f t="shared" si="21"/>
        <v>3</v>
      </c>
      <c r="O297" s="34" t="e">
        <f t="shared" si="22"/>
        <v>#DIV/0!</v>
      </c>
      <c r="P297" s="39" t="e">
        <f t="shared" si="23"/>
        <v>#DIV/0!</v>
      </c>
      <c r="Q297" s="11"/>
    </row>
    <row r="298" spans="2:17" x14ac:dyDescent="0.3">
      <c r="B298" s="30">
        <f>'Critérios de Seleção de Fornece'!B298</f>
        <v>293</v>
      </c>
      <c r="C298" s="30">
        <f>'Critérios de Seleção de Fornece'!C298</f>
        <v>0</v>
      </c>
      <c r="D298" s="30">
        <f>'Critérios de Seleção de Fornece'!H298</f>
        <v>0</v>
      </c>
      <c r="E298" s="30">
        <f>'Critérios de Seleção de Fornece'!I298</f>
        <v>0</v>
      </c>
      <c r="F298" s="30" t="e">
        <f>'Critérios de Seleção de Fornece'!L298</f>
        <v>#DIV/0!</v>
      </c>
      <c r="G298" s="30" t="e">
        <f>'Critérios de Seleção de Fornece'!O298</f>
        <v>#DIV/0!</v>
      </c>
      <c r="H298" s="30">
        <f>'Critérios de Seleção de Fornece'!Q298</f>
        <v>0</v>
      </c>
      <c r="I298" s="30" t="e">
        <f>'Critérios de Seleção de Fornece'!T298</f>
        <v>#DIV/0!</v>
      </c>
      <c r="J298" s="30" t="e">
        <f>'Critérios de Seleção de Fornece'!W298</f>
        <v>#DIV/0!</v>
      </c>
      <c r="K298" s="31" t="e">
        <f t="shared" si="20"/>
        <v>#DIV/0!</v>
      </c>
      <c r="L298" s="14"/>
      <c r="M298" s="14"/>
      <c r="N298" s="33">
        <f t="shared" si="21"/>
        <v>3</v>
      </c>
      <c r="O298" s="34" t="e">
        <f t="shared" si="22"/>
        <v>#DIV/0!</v>
      </c>
      <c r="P298" s="39" t="e">
        <f t="shared" si="23"/>
        <v>#DIV/0!</v>
      </c>
      <c r="Q298" s="11"/>
    </row>
    <row r="299" spans="2:17" x14ac:dyDescent="0.3">
      <c r="B299" s="30">
        <f>'Critérios de Seleção de Fornece'!B299</f>
        <v>294</v>
      </c>
      <c r="C299" s="30">
        <f>'Critérios de Seleção de Fornece'!C299</f>
        <v>0</v>
      </c>
      <c r="D299" s="30">
        <f>'Critérios de Seleção de Fornece'!H299</f>
        <v>0</v>
      </c>
      <c r="E299" s="30">
        <f>'Critérios de Seleção de Fornece'!I299</f>
        <v>0</v>
      </c>
      <c r="F299" s="30" t="e">
        <f>'Critérios de Seleção de Fornece'!L299</f>
        <v>#DIV/0!</v>
      </c>
      <c r="G299" s="30" t="e">
        <f>'Critérios de Seleção de Fornece'!O299</f>
        <v>#DIV/0!</v>
      </c>
      <c r="H299" s="30">
        <f>'Critérios de Seleção de Fornece'!Q299</f>
        <v>0</v>
      </c>
      <c r="I299" s="30" t="e">
        <f>'Critérios de Seleção de Fornece'!T299</f>
        <v>#DIV/0!</v>
      </c>
      <c r="J299" s="30" t="e">
        <f>'Critérios de Seleção de Fornece'!W299</f>
        <v>#DIV/0!</v>
      </c>
      <c r="K299" s="31" t="e">
        <f t="shared" ref="K299:K305" si="24">AVERAGE(D299:J299)</f>
        <v>#DIV/0!</v>
      </c>
      <c r="L299" s="14"/>
      <c r="M299" s="14"/>
      <c r="N299" s="33">
        <f t="shared" ref="N299:N305" si="25">IF(M299&gt;L299,1,IF(M299=L299,3,5))</f>
        <v>3</v>
      </c>
      <c r="O299" s="34" t="e">
        <f t="shared" ref="O299:O305" si="26">((5-K299)/4) + ((N299-3)/20)</f>
        <v>#DIV/0!</v>
      </c>
      <c r="P299" s="39" t="e">
        <f t="shared" ref="P299:P305" si="27">IF(O299&gt;=0.7,$S$10,IF(O299&gt;=0.5,$S$11,$S$12))</f>
        <v>#DIV/0!</v>
      </c>
      <c r="Q299" s="11"/>
    </row>
    <row r="300" spans="2:17" x14ac:dyDescent="0.3">
      <c r="B300" s="30">
        <f>'Critérios de Seleção de Fornece'!B300</f>
        <v>295</v>
      </c>
      <c r="C300" s="30">
        <f>'Critérios de Seleção de Fornece'!C300</f>
        <v>0</v>
      </c>
      <c r="D300" s="30">
        <f>'Critérios de Seleção de Fornece'!H300</f>
        <v>0</v>
      </c>
      <c r="E300" s="30">
        <f>'Critérios de Seleção de Fornece'!I300</f>
        <v>0</v>
      </c>
      <c r="F300" s="30" t="e">
        <f>'Critérios de Seleção de Fornece'!L300</f>
        <v>#DIV/0!</v>
      </c>
      <c r="G300" s="30" t="e">
        <f>'Critérios de Seleção de Fornece'!O300</f>
        <v>#DIV/0!</v>
      </c>
      <c r="H300" s="30">
        <f>'Critérios de Seleção de Fornece'!Q300</f>
        <v>0</v>
      </c>
      <c r="I300" s="30" t="e">
        <f>'Critérios de Seleção de Fornece'!T300</f>
        <v>#DIV/0!</v>
      </c>
      <c r="J300" s="30" t="e">
        <f>'Critérios de Seleção de Fornece'!W300</f>
        <v>#DIV/0!</v>
      </c>
      <c r="K300" s="31" t="e">
        <f t="shared" si="24"/>
        <v>#DIV/0!</v>
      </c>
      <c r="L300" s="14"/>
      <c r="M300" s="14"/>
      <c r="N300" s="33">
        <f t="shared" si="25"/>
        <v>3</v>
      </c>
      <c r="O300" s="34" t="e">
        <f t="shared" si="26"/>
        <v>#DIV/0!</v>
      </c>
      <c r="P300" s="39" t="e">
        <f t="shared" si="27"/>
        <v>#DIV/0!</v>
      </c>
      <c r="Q300" s="11"/>
    </row>
    <row r="301" spans="2:17" x14ac:dyDescent="0.3">
      <c r="B301" s="30">
        <f>'Critérios de Seleção de Fornece'!B301</f>
        <v>296</v>
      </c>
      <c r="C301" s="30">
        <f>'Critérios de Seleção de Fornece'!C301</f>
        <v>0</v>
      </c>
      <c r="D301" s="30">
        <f>'Critérios de Seleção de Fornece'!H301</f>
        <v>0</v>
      </c>
      <c r="E301" s="30">
        <f>'Critérios de Seleção de Fornece'!I301</f>
        <v>0</v>
      </c>
      <c r="F301" s="30" t="e">
        <f>'Critérios de Seleção de Fornece'!L301</f>
        <v>#DIV/0!</v>
      </c>
      <c r="G301" s="30" t="e">
        <f>'Critérios de Seleção de Fornece'!O301</f>
        <v>#DIV/0!</v>
      </c>
      <c r="H301" s="30">
        <f>'Critérios de Seleção de Fornece'!Q301</f>
        <v>0</v>
      </c>
      <c r="I301" s="30" t="e">
        <f>'Critérios de Seleção de Fornece'!T301</f>
        <v>#DIV/0!</v>
      </c>
      <c r="J301" s="30" t="e">
        <f>'Critérios de Seleção de Fornece'!W301</f>
        <v>#DIV/0!</v>
      </c>
      <c r="K301" s="31" t="e">
        <f t="shared" si="24"/>
        <v>#DIV/0!</v>
      </c>
      <c r="L301" s="14"/>
      <c r="M301" s="14"/>
      <c r="N301" s="33">
        <f t="shared" si="25"/>
        <v>3</v>
      </c>
      <c r="O301" s="34" t="e">
        <f t="shared" si="26"/>
        <v>#DIV/0!</v>
      </c>
      <c r="P301" s="39" t="e">
        <f t="shared" si="27"/>
        <v>#DIV/0!</v>
      </c>
      <c r="Q301" s="11"/>
    </row>
    <row r="302" spans="2:17" x14ac:dyDescent="0.3">
      <c r="B302" s="30">
        <f>'Critérios de Seleção de Fornece'!B302</f>
        <v>297</v>
      </c>
      <c r="C302" s="30">
        <f>'Critérios de Seleção de Fornece'!C302</f>
        <v>0</v>
      </c>
      <c r="D302" s="30">
        <f>'Critérios de Seleção de Fornece'!H302</f>
        <v>0</v>
      </c>
      <c r="E302" s="30">
        <f>'Critérios de Seleção de Fornece'!I302</f>
        <v>0</v>
      </c>
      <c r="F302" s="30" t="e">
        <f>'Critérios de Seleção de Fornece'!L302</f>
        <v>#DIV/0!</v>
      </c>
      <c r="G302" s="30" t="e">
        <f>'Critérios de Seleção de Fornece'!O302</f>
        <v>#DIV/0!</v>
      </c>
      <c r="H302" s="30">
        <f>'Critérios de Seleção de Fornece'!Q302</f>
        <v>0</v>
      </c>
      <c r="I302" s="30" t="e">
        <f>'Critérios de Seleção de Fornece'!T302</f>
        <v>#DIV/0!</v>
      </c>
      <c r="J302" s="30" t="e">
        <f>'Critérios de Seleção de Fornece'!W302</f>
        <v>#DIV/0!</v>
      </c>
      <c r="K302" s="31" t="e">
        <f t="shared" si="24"/>
        <v>#DIV/0!</v>
      </c>
      <c r="L302" s="14"/>
      <c r="M302" s="14"/>
      <c r="N302" s="33">
        <f t="shared" si="25"/>
        <v>3</v>
      </c>
      <c r="O302" s="34" t="e">
        <f t="shared" si="26"/>
        <v>#DIV/0!</v>
      </c>
      <c r="P302" s="39" t="e">
        <f t="shared" si="27"/>
        <v>#DIV/0!</v>
      </c>
      <c r="Q302" s="11"/>
    </row>
    <row r="303" spans="2:17" x14ac:dyDescent="0.3">
      <c r="B303" s="30">
        <f>'Critérios de Seleção de Fornece'!B303</f>
        <v>298</v>
      </c>
      <c r="C303" s="30">
        <f>'Critérios de Seleção de Fornece'!C303</f>
        <v>0</v>
      </c>
      <c r="D303" s="30">
        <f>'Critérios de Seleção de Fornece'!H303</f>
        <v>0</v>
      </c>
      <c r="E303" s="30">
        <f>'Critérios de Seleção de Fornece'!I303</f>
        <v>0</v>
      </c>
      <c r="F303" s="30" t="e">
        <f>'Critérios de Seleção de Fornece'!L303</f>
        <v>#DIV/0!</v>
      </c>
      <c r="G303" s="30" t="e">
        <f>'Critérios de Seleção de Fornece'!O303</f>
        <v>#DIV/0!</v>
      </c>
      <c r="H303" s="30">
        <f>'Critérios de Seleção de Fornece'!Q303</f>
        <v>0</v>
      </c>
      <c r="I303" s="30" t="e">
        <f>'Critérios de Seleção de Fornece'!T303</f>
        <v>#DIV/0!</v>
      </c>
      <c r="J303" s="30" t="e">
        <f>'Critérios de Seleção de Fornece'!W303</f>
        <v>#DIV/0!</v>
      </c>
      <c r="K303" s="31" t="e">
        <f t="shared" si="24"/>
        <v>#DIV/0!</v>
      </c>
      <c r="L303" s="14"/>
      <c r="M303" s="14"/>
      <c r="N303" s="33">
        <f t="shared" si="25"/>
        <v>3</v>
      </c>
      <c r="O303" s="34" t="e">
        <f t="shared" si="26"/>
        <v>#DIV/0!</v>
      </c>
      <c r="P303" s="39" t="e">
        <f t="shared" si="27"/>
        <v>#DIV/0!</v>
      </c>
      <c r="Q303" s="11"/>
    </row>
    <row r="304" spans="2:17" x14ac:dyDescent="0.3">
      <c r="B304" s="30">
        <f>'Critérios de Seleção de Fornece'!B304</f>
        <v>299</v>
      </c>
      <c r="C304" s="30">
        <f>'Critérios de Seleção de Fornece'!C304</f>
        <v>0</v>
      </c>
      <c r="D304" s="30">
        <f>'Critérios de Seleção de Fornece'!H304</f>
        <v>0</v>
      </c>
      <c r="E304" s="30">
        <f>'Critérios de Seleção de Fornece'!I304</f>
        <v>0</v>
      </c>
      <c r="F304" s="30" t="e">
        <f>'Critérios de Seleção de Fornece'!L304</f>
        <v>#DIV/0!</v>
      </c>
      <c r="G304" s="30" t="e">
        <f>'Critérios de Seleção de Fornece'!O304</f>
        <v>#DIV/0!</v>
      </c>
      <c r="H304" s="30">
        <f>'Critérios de Seleção de Fornece'!Q304</f>
        <v>0</v>
      </c>
      <c r="I304" s="30" t="e">
        <f>'Critérios de Seleção de Fornece'!T304</f>
        <v>#DIV/0!</v>
      </c>
      <c r="J304" s="30" t="e">
        <f>'Critérios de Seleção de Fornece'!W304</f>
        <v>#DIV/0!</v>
      </c>
      <c r="K304" s="31" t="e">
        <f t="shared" si="24"/>
        <v>#DIV/0!</v>
      </c>
      <c r="L304" s="14"/>
      <c r="M304" s="14"/>
      <c r="N304" s="33">
        <f t="shared" si="25"/>
        <v>3</v>
      </c>
      <c r="O304" s="34" t="e">
        <f t="shared" si="26"/>
        <v>#DIV/0!</v>
      </c>
      <c r="P304" s="39" t="e">
        <f t="shared" si="27"/>
        <v>#DIV/0!</v>
      </c>
      <c r="Q304" s="11"/>
    </row>
    <row r="305" spans="2:17" x14ac:dyDescent="0.3">
      <c r="B305" s="30">
        <f>'Critérios de Seleção de Fornece'!B305</f>
        <v>300</v>
      </c>
      <c r="C305" s="30">
        <f>'Critérios de Seleção de Fornece'!C305</f>
        <v>0</v>
      </c>
      <c r="D305" s="30">
        <f>'Critérios de Seleção de Fornece'!H305</f>
        <v>0</v>
      </c>
      <c r="E305" s="30">
        <f>'Critérios de Seleção de Fornece'!I305</f>
        <v>0</v>
      </c>
      <c r="F305" s="30" t="e">
        <f>'Critérios de Seleção de Fornece'!L305</f>
        <v>#DIV/0!</v>
      </c>
      <c r="G305" s="30" t="e">
        <f>'Critérios de Seleção de Fornece'!O305</f>
        <v>#DIV/0!</v>
      </c>
      <c r="H305" s="30">
        <f>'Critérios de Seleção de Fornece'!Q305</f>
        <v>0</v>
      </c>
      <c r="I305" s="30" t="e">
        <f>'Critérios de Seleção de Fornece'!T305</f>
        <v>#DIV/0!</v>
      </c>
      <c r="J305" s="30" t="e">
        <f>'Critérios de Seleção de Fornece'!W305</f>
        <v>#DIV/0!</v>
      </c>
      <c r="K305" s="31" t="e">
        <f t="shared" si="24"/>
        <v>#DIV/0!</v>
      </c>
      <c r="L305" s="14"/>
      <c r="M305" s="14"/>
      <c r="N305" s="33">
        <f t="shared" si="25"/>
        <v>3</v>
      </c>
      <c r="O305" s="34" t="e">
        <f t="shared" si="26"/>
        <v>#DIV/0!</v>
      </c>
      <c r="P305" s="39" t="e">
        <f t="shared" si="27"/>
        <v>#DIV/0!</v>
      </c>
      <c r="Q305" s="11"/>
    </row>
  </sheetData>
  <sheetProtection sheet="1" formatCells="0" formatColumns="0" formatRows="0" insertColumns="0" insertRows="0" insertHyperlinks="0" deleteColumns="0" deleteRows="0" sort="0" autoFilter="0" pivotTables="0"/>
  <mergeCells count="16">
    <mergeCell ref="C2:Q2"/>
    <mergeCell ref="B4:B5"/>
    <mergeCell ref="C4:C5"/>
    <mergeCell ref="S9:T9"/>
    <mergeCell ref="K4:K5"/>
    <mergeCell ref="Q4:Q5"/>
    <mergeCell ref="L4:N4"/>
    <mergeCell ref="S4:T4"/>
    <mergeCell ref="O4:P4"/>
    <mergeCell ref="D4:D5"/>
    <mergeCell ref="E4:E5"/>
    <mergeCell ref="F4:F5"/>
    <mergeCell ref="G4:G5"/>
    <mergeCell ref="H4:H5"/>
    <mergeCell ref="I4:I5"/>
    <mergeCell ref="J4:J5"/>
  </mergeCells>
  <conditionalFormatting sqref="P6:Q25 P26:P305">
    <cfRule type="cellIs" dxfId="6" priority="1" operator="equal">
      <formula>$S$11</formula>
    </cfRule>
    <cfRule type="cellIs" dxfId="5" priority="2" operator="equal">
      <formula>$S$10</formula>
    </cfRule>
  </conditionalFormatting>
  <pageMargins left="0.25" right="0.25" top="0.75" bottom="0.75" header="0.3" footer="0.3"/>
  <pageSetup paperSize="66" orientation="landscape" r:id="rId1"/>
  <headerFooter>
    <oddFooter>&amp;L&amp;"Cambria,Normal"MOD 8.1.4 - Seleção de Fornecedores&amp;C&amp;P&amp;"Cambria,Normal" de &amp;N&amp;R&amp;"Cambria,Normal"R0 00  &amp;D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EDBBE50F-6FDC-42A7-A70F-79C5FF859CD5}">
            <xm:f>NOT(ISERROR(SEARCH($S$12,P6)))</xm:f>
            <xm:f>$S$12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P6:Q25 P26:P305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F7343"/>
    <pageSetUpPr fitToPage="1"/>
  </sheetPr>
  <dimension ref="B1:F73"/>
  <sheetViews>
    <sheetView showGridLines="0" tabSelected="1" workbookViewId="0"/>
  </sheetViews>
  <sheetFormatPr defaultRowHeight="14.4" x14ac:dyDescent="0.3"/>
  <cols>
    <col min="1" max="1" width="0.77734375" customWidth="1"/>
    <col min="2" max="2" width="12.44140625" customWidth="1"/>
    <col min="3" max="3" width="27" customWidth="1"/>
    <col min="4" max="4" width="19" customWidth="1"/>
    <col min="5" max="5" width="52" customWidth="1"/>
    <col min="6" max="6" width="64" customWidth="1"/>
  </cols>
  <sheetData>
    <row r="1" spans="2:6" ht="33" customHeight="1" x14ac:dyDescent="0.3">
      <c r="C1" s="100" t="s">
        <v>329</v>
      </c>
      <c r="D1" s="69"/>
      <c r="E1" s="69"/>
      <c r="F1" s="69"/>
    </row>
    <row r="2" spans="2:6" ht="33" customHeight="1" x14ac:dyDescent="0.3">
      <c r="C2" s="69"/>
      <c r="D2" s="69"/>
      <c r="E2" s="69"/>
      <c r="F2" s="69"/>
    </row>
    <row r="3" spans="2:6" ht="30" customHeight="1" x14ac:dyDescent="0.3">
      <c r="B3" s="73" t="s">
        <v>330</v>
      </c>
      <c r="C3" s="69"/>
      <c r="D3" s="69"/>
      <c r="E3" s="69"/>
      <c r="F3" s="69"/>
    </row>
    <row r="5" spans="2:6" ht="24" customHeight="1" x14ac:dyDescent="0.3">
      <c r="B5" s="83" t="s">
        <v>114</v>
      </c>
      <c r="C5" s="69"/>
      <c r="D5" s="69"/>
      <c r="E5" s="69"/>
      <c r="F5" s="69"/>
    </row>
    <row r="6" spans="2:6" ht="38.4" customHeight="1" x14ac:dyDescent="0.3">
      <c r="B6" s="68" t="s">
        <v>331</v>
      </c>
      <c r="C6" s="69"/>
      <c r="D6" s="69"/>
      <c r="E6" s="69"/>
      <c r="F6" s="69"/>
    </row>
    <row r="7" spans="2:6" ht="38.4" customHeight="1" x14ac:dyDescent="0.3">
      <c r="B7" s="68" t="s">
        <v>332</v>
      </c>
      <c r="C7" s="69"/>
      <c r="D7" s="69"/>
      <c r="E7" s="69"/>
      <c r="F7" s="69"/>
    </row>
    <row r="8" spans="2:6" ht="38.4" customHeight="1" x14ac:dyDescent="0.3">
      <c r="B8" s="68" t="s">
        <v>333</v>
      </c>
      <c r="C8" s="69"/>
      <c r="D8" s="69"/>
      <c r="E8" s="69"/>
      <c r="F8" s="69"/>
    </row>
    <row r="9" spans="2:6" ht="10.050000000000001" customHeight="1" x14ac:dyDescent="0.3"/>
    <row r="10" spans="2:6" ht="24" customHeight="1" x14ac:dyDescent="0.3">
      <c r="B10" s="83" t="s">
        <v>118</v>
      </c>
      <c r="C10" s="69"/>
      <c r="D10" s="69"/>
      <c r="E10" s="69"/>
      <c r="F10" s="69"/>
    </row>
    <row r="11" spans="2:6" ht="23.1" customHeight="1" x14ac:dyDescent="0.3">
      <c r="B11" s="68" t="s">
        <v>119</v>
      </c>
      <c r="C11" s="69"/>
      <c r="D11" s="69"/>
      <c r="E11" s="69"/>
      <c r="F11" s="69"/>
    </row>
    <row r="12" spans="2:6" ht="38.4" customHeight="1" x14ac:dyDescent="0.3">
      <c r="B12" s="80" t="s">
        <v>334</v>
      </c>
      <c r="C12" s="71"/>
      <c r="D12" s="70" t="s">
        <v>121</v>
      </c>
      <c r="E12" s="71"/>
      <c r="F12" s="71"/>
    </row>
    <row r="13" spans="2:6" ht="38.4" customHeight="1" x14ac:dyDescent="0.3">
      <c r="B13" s="78" t="s">
        <v>122</v>
      </c>
      <c r="C13" s="71"/>
      <c r="D13" s="70" t="s">
        <v>123</v>
      </c>
      <c r="E13" s="71"/>
      <c r="F13" s="71"/>
    </row>
    <row r="14" spans="2:6" ht="23.25" customHeight="1" x14ac:dyDescent="0.3">
      <c r="B14" s="78" t="s">
        <v>220</v>
      </c>
      <c r="C14" s="71"/>
      <c r="D14" s="70" t="s">
        <v>125</v>
      </c>
      <c r="E14" s="71"/>
      <c r="F14" s="71"/>
    </row>
    <row r="15" spans="2:6" ht="38.4" customHeight="1" x14ac:dyDescent="0.3">
      <c r="B15" s="78" t="s">
        <v>126</v>
      </c>
      <c r="C15" s="71"/>
      <c r="D15" s="70" t="s">
        <v>127</v>
      </c>
      <c r="E15" s="71"/>
      <c r="F15" s="71"/>
    </row>
    <row r="16" spans="2:6" ht="10.050000000000001" customHeight="1" x14ac:dyDescent="0.3"/>
    <row r="17" spans="2:6" ht="53.55" customHeight="1" x14ac:dyDescent="0.3">
      <c r="B17" s="81" t="s">
        <v>128</v>
      </c>
      <c r="C17" s="69"/>
      <c r="D17" s="69"/>
      <c r="E17" s="69"/>
      <c r="F17" s="69"/>
    </row>
    <row r="18" spans="2:6" ht="10.050000000000001" customHeight="1" x14ac:dyDescent="0.3"/>
    <row r="19" spans="2:6" ht="24" customHeight="1" x14ac:dyDescent="0.3">
      <c r="B19" s="83" t="s">
        <v>129</v>
      </c>
      <c r="C19" s="69"/>
      <c r="D19" s="69"/>
      <c r="E19" s="69"/>
      <c r="F19" s="69"/>
    </row>
    <row r="20" spans="2:6" ht="23.25" customHeight="1" x14ac:dyDescent="0.3">
      <c r="B20" s="80" t="s">
        <v>130</v>
      </c>
      <c r="C20" s="71"/>
      <c r="D20" s="70" t="s">
        <v>131</v>
      </c>
      <c r="E20" s="71"/>
      <c r="F20" s="71"/>
    </row>
    <row r="21" spans="2:6" ht="23.25" customHeight="1" x14ac:dyDescent="0.3">
      <c r="B21" s="79" t="s">
        <v>132</v>
      </c>
      <c r="C21" s="71"/>
      <c r="D21" s="70" t="s">
        <v>133</v>
      </c>
      <c r="E21" s="71"/>
      <c r="F21" s="71"/>
    </row>
    <row r="22" spans="2:6" ht="23.25" customHeight="1" x14ac:dyDescent="0.3">
      <c r="B22" s="75" t="s">
        <v>134</v>
      </c>
      <c r="C22" s="71"/>
      <c r="D22" s="70" t="s">
        <v>135</v>
      </c>
      <c r="E22" s="71"/>
      <c r="F22" s="71"/>
    </row>
    <row r="23" spans="2:6" ht="10.050000000000001" customHeight="1" x14ac:dyDescent="0.3"/>
    <row r="24" spans="2:6" ht="24" customHeight="1" x14ac:dyDescent="0.3">
      <c r="B24" s="83" t="s">
        <v>136</v>
      </c>
      <c r="C24" s="69"/>
      <c r="D24" s="69"/>
      <c r="E24" s="69"/>
      <c r="F24" s="69"/>
    </row>
    <row r="25" spans="2:6" ht="30" customHeight="1" x14ac:dyDescent="0.3">
      <c r="B25" s="61" t="s">
        <v>137</v>
      </c>
      <c r="C25" s="61" t="s">
        <v>138</v>
      </c>
      <c r="D25" s="61" t="s">
        <v>139</v>
      </c>
      <c r="E25" s="61" t="s">
        <v>140</v>
      </c>
      <c r="F25" s="61" t="s">
        <v>141</v>
      </c>
    </row>
    <row r="26" spans="2:6" ht="84" customHeight="1" x14ac:dyDescent="0.3">
      <c r="B26" s="56" t="s">
        <v>142</v>
      </c>
      <c r="C26" s="57" t="s">
        <v>16</v>
      </c>
      <c r="D26" s="58" t="s">
        <v>132</v>
      </c>
      <c r="E26" s="54" t="s">
        <v>335</v>
      </c>
      <c r="F26" s="54" t="s">
        <v>336</v>
      </c>
    </row>
    <row r="27" spans="2:6" ht="38.4" customHeight="1" x14ac:dyDescent="0.3">
      <c r="B27" s="56" t="s">
        <v>145</v>
      </c>
      <c r="C27" s="57" t="s">
        <v>337</v>
      </c>
      <c r="D27" s="59" t="s">
        <v>130</v>
      </c>
      <c r="E27" s="54" t="s">
        <v>146</v>
      </c>
      <c r="F27" s="54" t="s">
        <v>338</v>
      </c>
    </row>
    <row r="28" spans="2:6" ht="53.55" customHeight="1" x14ac:dyDescent="0.3">
      <c r="B28" s="56" t="s">
        <v>148</v>
      </c>
      <c r="C28" s="57" t="s">
        <v>339</v>
      </c>
      <c r="D28" s="59" t="s">
        <v>130</v>
      </c>
      <c r="E28" s="54" t="s">
        <v>340</v>
      </c>
      <c r="F28" s="54" t="s">
        <v>341</v>
      </c>
    </row>
    <row r="29" spans="2:6" ht="53.55" customHeight="1" x14ac:dyDescent="0.3">
      <c r="B29" s="56" t="s">
        <v>151</v>
      </c>
      <c r="C29" s="57" t="s">
        <v>32</v>
      </c>
      <c r="D29" s="59" t="s">
        <v>130</v>
      </c>
      <c r="E29" s="54" t="s">
        <v>342</v>
      </c>
      <c r="F29" s="54" t="s">
        <v>343</v>
      </c>
    </row>
    <row r="30" spans="2:6" ht="53.55" customHeight="1" x14ac:dyDescent="0.3">
      <c r="B30" s="56" t="s">
        <v>154</v>
      </c>
      <c r="C30" s="57" t="s">
        <v>33</v>
      </c>
      <c r="D30" s="59" t="s">
        <v>130</v>
      </c>
      <c r="E30" s="54" t="s">
        <v>344</v>
      </c>
      <c r="F30" s="54" t="s">
        <v>345</v>
      </c>
    </row>
    <row r="31" spans="2:6" ht="23.25" customHeight="1" x14ac:dyDescent="0.3">
      <c r="B31" s="56" t="s">
        <v>157</v>
      </c>
      <c r="C31" s="57" t="s">
        <v>346</v>
      </c>
      <c r="D31" s="59" t="s">
        <v>130</v>
      </c>
      <c r="E31" s="54" t="s">
        <v>347</v>
      </c>
      <c r="F31" s="54" t="s">
        <v>348</v>
      </c>
    </row>
    <row r="32" spans="2:6" ht="68.849999999999994" customHeight="1" x14ac:dyDescent="0.3">
      <c r="B32" s="56" t="s">
        <v>160</v>
      </c>
      <c r="C32" s="57" t="s">
        <v>349</v>
      </c>
      <c r="D32" s="58" t="s">
        <v>132</v>
      </c>
      <c r="E32" s="54" t="s">
        <v>350</v>
      </c>
      <c r="F32" s="54" t="s">
        <v>351</v>
      </c>
    </row>
    <row r="33" spans="2:6" ht="38.4" customHeight="1" x14ac:dyDescent="0.3">
      <c r="B33" s="56" t="s">
        <v>163</v>
      </c>
      <c r="C33" s="57" t="s">
        <v>352</v>
      </c>
      <c r="D33" s="59" t="s">
        <v>130</v>
      </c>
      <c r="E33" s="54" t="s">
        <v>353</v>
      </c>
      <c r="F33" s="54" t="s">
        <v>354</v>
      </c>
    </row>
    <row r="34" spans="2:6" ht="38.4" customHeight="1" x14ac:dyDescent="0.3">
      <c r="B34" s="56" t="s">
        <v>166</v>
      </c>
      <c r="C34" s="57" t="s">
        <v>355</v>
      </c>
      <c r="D34" s="59" t="s">
        <v>130</v>
      </c>
      <c r="E34" s="54" t="s">
        <v>356</v>
      </c>
      <c r="F34" s="54" t="s">
        <v>348</v>
      </c>
    </row>
    <row r="35" spans="2:6" ht="38.4" customHeight="1" x14ac:dyDescent="0.3">
      <c r="B35" s="56" t="s">
        <v>169</v>
      </c>
      <c r="C35" s="57" t="s">
        <v>357</v>
      </c>
      <c r="D35" s="59" t="s">
        <v>130</v>
      </c>
      <c r="E35" s="54" t="s">
        <v>358</v>
      </c>
      <c r="F35" s="54" t="s">
        <v>348</v>
      </c>
    </row>
    <row r="36" spans="2:6" ht="38.4" customHeight="1" x14ac:dyDescent="0.3">
      <c r="B36" s="56" t="s">
        <v>172</v>
      </c>
      <c r="C36" s="57" t="s">
        <v>359</v>
      </c>
      <c r="D36" s="58" t="s">
        <v>132</v>
      </c>
      <c r="E36" s="54" t="s">
        <v>360</v>
      </c>
      <c r="F36" s="54" t="s">
        <v>361</v>
      </c>
    </row>
    <row r="37" spans="2:6" ht="38.4" customHeight="1" x14ac:dyDescent="0.3">
      <c r="B37" s="56" t="s">
        <v>176</v>
      </c>
      <c r="C37" s="57" t="s">
        <v>362</v>
      </c>
      <c r="D37" s="59" t="s">
        <v>130</v>
      </c>
      <c r="E37" s="54" t="s">
        <v>363</v>
      </c>
      <c r="F37" s="54" t="s">
        <v>348</v>
      </c>
    </row>
    <row r="38" spans="2:6" ht="38.4" customHeight="1" x14ac:dyDescent="0.3">
      <c r="B38" s="56" t="s">
        <v>294</v>
      </c>
      <c r="C38" s="57" t="s">
        <v>364</v>
      </c>
      <c r="D38" s="59" t="s">
        <v>130</v>
      </c>
      <c r="E38" s="54" t="s">
        <v>365</v>
      </c>
      <c r="F38" s="54" t="s">
        <v>348</v>
      </c>
    </row>
    <row r="39" spans="2:6" ht="38.4" customHeight="1" x14ac:dyDescent="0.3">
      <c r="B39" s="56" t="s">
        <v>297</v>
      </c>
      <c r="C39" s="57" t="s">
        <v>366</v>
      </c>
      <c r="D39" s="58" t="s">
        <v>132</v>
      </c>
      <c r="E39" s="54" t="s">
        <v>367</v>
      </c>
      <c r="F39" s="54" t="s">
        <v>368</v>
      </c>
    </row>
    <row r="40" spans="2:6" ht="38.4" customHeight="1" x14ac:dyDescent="0.3">
      <c r="B40" s="56" t="s">
        <v>301</v>
      </c>
      <c r="C40" s="57" t="s">
        <v>369</v>
      </c>
      <c r="D40" s="59" t="s">
        <v>130</v>
      </c>
      <c r="E40" s="54" t="s">
        <v>370</v>
      </c>
      <c r="F40" s="54" t="s">
        <v>348</v>
      </c>
    </row>
    <row r="41" spans="2:6" ht="38.4" customHeight="1" x14ac:dyDescent="0.3">
      <c r="B41" s="56" t="s">
        <v>305</v>
      </c>
      <c r="C41" s="57" t="s">
        <v>371</v>
      </c>
      <c r="D41" s="58" t="s">
        <v>132</v>
      </c>
      <c r="E41" s="54" t="s">
        <v>372</v>
      </c>
      <c r="F41" s="54" t="s">
        <v>373</v>
      </c>
    </row>
    <row r="42" spans="2:6" ht="38.4" customHeight="1" x14ac:dyDescent="0.3">
      <c r="B42" s="56" t="s">
        <v>374</v>
      </c>
      <c r="C42" s="57" t="s">
        <v>375</v>
      </c>
      <c r="D42" s="59" t="s">
        <v>130</v>
      </c>
      <c r="E42" s="54" t="s">
        <v>376</v>
      </c>
      <c r="F42" s="54" t="s">
        <v>348</v>
      </c>
    </row>
    <row r="43" spans="2:6" ht="38.4" customHeight="1" x14ac:dyDescent="0.3">
      <c r="B43" s="56" t="s">
        <v>377</v>
      </c>
      <c r="C43" s="57" t="s">
        <v>378</v>
      </c>
      <c r="D43" s="59" t="s">
        <v>130</v>
      </c>
      <c r="E43" s="54" t="s">
        <v>379</v>
      </c>
      <c r="F43" s="54" t="s">
        <v>348</v>
      </c>
    </row>
    <row r="44" spans="2:6" ht="38.4" customHeight="1" x14ac:dyDescent="0.3">
      <c r="B44" s="56" t="s">
        <v>380</v>
      </c>
      <c r="C44" s="57" t="s">
        <v>381</v>
      </c>
      <c r="D44" s="58" t="s">
        <v>132</v>
      </c>
      <c r="E44" s="54" t="s">
        <v>382</v>
      </c>
      <c r="F44" s="54" t="s">
        <v>383</v>
      </c>
    </row>
    <row r="45" spans="2:6" ht="53.55" customHeight="1" x14ac:dyDescent="0.3">
      <c r="B45" s="56" t="s">
        <v>384</v>
      </c>
      <c r="C45" s="57" t="s">
        <v>385</v>
      </c>
      <c r="D45" s="59" t="s">
        <v>130</v>
      </c>
      <c r="E45" s="54" t="s">
        <v>386</v>
      </c>
      <c r="F45" s="54" t="s">
        <v>348</v>
      </c>
    </row>
    <row r="46" spans="2:6" ht="38.4" customHeight="1" x14ac:dyDescent="0.3">
      <c r="B46" s="56" t="s">
        <v>387</v>
      </c>
      <c r="C46" s="57" t="s">
        <v>388</v>
      </c>
      <c r="D46" s="59" t="s">
        <v>130</v>
      </c>
      <c r="E46" s="54" t="s">
        <v>389</v>
      </c>
      <c r="F46" s="54" t="s">
        <v>348</v>
      </c>
    </row>
    <row r="47" spans="2:6" ht="38.4" customHeight="1" x14ac:dyDescent="0.3">
      <c r="B47" s="56" t="s">
        <v>390</v>
      </c>
      <c r="C47" s="57" t="s">
        <v>391</v>
      </c>
      <c r="D47" s="58" t="s">
        <v>132</v>
      </c>
      <c r="E47" s="54" t="s">
        <v>392</v>
      </c>
      <c r="F47" s="54" t="s">
        <v>393</v>
      </c>
    </row>
    <row r="48" spans="2:6" ht="23.25" customHeight="1" x14ac:dyDescent="0.3">
      <c r="B48" s="56" t="s">
        <v>394</v>
      </c>
      <c r="C48" s="57" t="s">
        <v>395</v>
      </c>
      <c r="D48" s="60" t="s">
        <v>312</v>
      </c>
      <c r="E48" s="54" t="s">
        <v>396</v>
      </c>
      <c r="F48" s="54" t="s">
        <v>397</v>
      </c>
    </row>
    <row r="49" spans="2:6" ht="23.25" customHeight="1" x14ac:dyDescent="0.3">
      <c r="B49" s="56" t="s">
        <v>398</v>
      </c>
      <c r="C49" s="57" t="s">
        <v>104</v>
      </c>
      <c r="D49" s="60" t="s">
        <v>126</v>
      </c>
      <c r="E49" s="54" t="s">
        <v>399</v>
      </c>
      <c r="F49" s="54" t="s">
        <v>400</v>
      </c>
    </row>
    <row r="50" spans="2:6" ht="10.050000000000001" customHeight="1" x14ac:dyDescent="0.3"/>
    <row r="51" spans="2:6" ht="24" customHeight="1" x14ac:dyDescent="0.3">
      <c r="B51" s="83" t="s">
        <v>195</v>
      </c>
      <c r="C51" s="69"/>
      <c r="D51" s="69"/>
      <c r="E51" s="69"/>
      <c r="F51" s="69"/>
    </row>
    <row r="52" spans="2:6" ht="23.1" customHeight="1" x14ac:dyDescent="0.3">
      <c r="B52" s="68" t="s">
        <v>401</v>
      </c>
      <c r="C52" s="69"/>
      <c r="D52" s="69"/>
      <c r="E52" s="69"/>
      <c r="F52" s="69"/>
    </row>
    <row r="53" spans="2:6" ht="23.1" customHeight="1" x14ac:dyDescent="0.3">
      <c r="B53" s="68" t="s">
        <v>402</v>
      </c>
      <c r="C53" s="69"/>
      <c r="D53" s="69"/>
      <c r="E53" s="69"/>
      <c r="F53" s="69"/>
    </row>
    <row r="54" spans="2:6" ht="23.1" customHeight="1" x14ac:dyDescent="0.3">
      <c r="B54" s="68" t="s">
        <v>403</v>
      </c>
      <c r="C54" s="69"/>
      <c r="D54" s="69"/>
      <c r="E54" s="69"/>
      <c r="F54" s="69"/>
    </row>
    <row r="55" spans="2:6" ht="23.1" customHeight="1" x14ac:dyDescent="0.3">
      <c r="B55" s="68" t="s">
        <v>404</v>
      </c>
      <c r="C55" s="69"/>
      <c r="D55" s="69"/>
      <c r="E55" s="69"/>
      <c r="F55" s="69"/>
    </row>
    <row r="56" spans="2:6" ht="23.1" customHeight="1" x14ac:dyDescent="0.3">
      <c r="B56" s="68" t="s">
        <v>405</v>
      </c>
      <c r="C56" s="69"/>
      <c r="D56" s="69"/>
      <c r="E56" s="69"/>
      <c r="F56" s="69"/>
    </row>
    <row r="57" spans="2:6" ht="23.1" customHeight="1" x14ac:dyDescent="0.3">
      <c r="B57" s="68" t="s">
        <v>406</v>
      </c>
      <c r="C57" s="69"/>
      <c r="D57" s="69"/>
      <c r="E57" s="69"/>
      <c r="F57" s="69"/>
    </row>
    <row r="58" spans="2:6" ht="10.050000000000001" customHeight="1" x14ac:dyDescent="0.3"/>
    <row r="59" spans="2:6" ht="24" customHeight="1" x14ac:dyDescent="0.3">
      <c r="B59" s="83" t="s">
        <v>325</v>
      </c>
      <c r="C59" s="69"/>
      <c r="D59" s="69"/>
      <c r="E59" s="69"/>
      <c r="F59" s="69"/>
    </row>
    <row r="60" spans="2:6" ht="53.55" customHeight="1" x14ac:dyDescent="0.3">
      <c r="B60" s="74" t="s">
        <v>407</v>
      </c>
      <c r="C60" s="69"/>
      <c r="D60" s="69"/>
      <c r="E60" s="69"/>
      <c r="F60" s="69"/>
    </row>
    <row r="61" spans="2:6" ht="10.050000000000001" customHeight="1" x14ac:dyDescent="0.3"/>
    <row r="62" spans="2:6" ht="24" customHeight="1" x14ac:dyDescent="0.3">
      <c r="B62" s="83" t="s">
        <v>205</v>
      </c>
      <c r="C62" s="69"/>
      <c r="D62" s="69"/>
      <c r="E62" s="69"/>
      <c r="F62" s="69"/>
    </row>
    <row r="63" spans="2:6" ht="27.3" customHeight="1" x14ac:dyDescent="0.3">
      <c r="B63" s="77" t="s">
        <v>206</v>
      </c>
      <c r="C63" s="69"/>
      <c r="D63" s="69"/>
      <c r="E63" s="69"/>
      <c r="F63" s="69"/>
    </row>
    <row r="64" spans="2:6" ht="38.4" customHeight="1" x14ac:dyDescent="0.3">
      <c r="B64" s="74" t="s">
        <v>207</v>
      </c>
      <c r="C64" s="69"/>
      <c r="D64" s="69"/>
      <c r="E64" s="69"/>
      <c r="F64" s="69"/>
    </row>
    <row r="65" spans="2:6" ht="23.1" customHeight="1" x14ac:dyDescent="0.3">
      <c r="B65" s="68" t="s">
        <v>208</v>
      </c>
      <c r="C65" s="69"/>
      <c r="D65" s="69"/>
      <c r="E65" s="69"/>
      <c r="F65" s="69"/>
    </row>
    <row r="66" spans="2:6" ht="23.1" customHeight="1" x14ac:dyDescent="0.3">
      <c r="B66" s="68" t="s">
        <v>209</v>
      </c>
      <c r="C66" s="69"/>
      <c r="D66" s="69"/>
      <c r="E66" s="69"/>
      <c r="F66" s="69"/>
    </row>
    <row r="67" spans="2:6" ht="23.1" customHeight="1" x14ac:dyDescent="0.3">
      <c r="B67" s="68" t="s">
        <v>210</v>
      </c>
      <c r="C67" s="69"/>
      <c r="D67" s="69"/>
      <c r="E67" s="69"/>
      <c r="F67" s="69"/>
    </row>
    <row r="68" spans="2:6" ht="23.1" customHeight="1" x14ac:dyDescent="0.3">
      <c r="B68" s="68" t="s">
        <v>211</v>
      </c>
      <c r="C68" s="69"/>
      <c r="D68" s="69"/>
      <c r="E68" s="69"/>
      <c r="F68" s="69"/>
    </row>
    <row r="69" spans="2:6" ht="23.1" customHeight="1" x14ac:dyDescent="0.3">
      <c r="B69" s="68" t="s">
        <v>212</v>
      </c>
      <c r="C69" s="69"/>
      <c r="D69" s="69"/>
      <c r="E69" s="69"/>
      <c r="F69" s="69"/>
    </row>
    <row r="70" spans="2:6" ht="23.1" customHeight="1" x14ac:dyDescent="0.3">
      <c r="B70" s="68" t="s">
        <v>213</v>
      </c>
      <c r="C70" s="69"/>
      <c r="D70" s="69"/>
      <c r="E70" s="69"/>
      <c r="F70" s="69"/>
    </row>
    <row r="71" spans="2:6" ht="23.1" customHeight="1" x14ac:dyDescent="0.3">
      <c r="B71" s="68" t="s">
        <v>327</v>
      </c>
      <c r="C71" s="69"/>
      <c r="D71" s="69"/>
      <c r="E71" s="69"/>
      <c r="F71" s="69"/>
    </row>
    <row r="72" spans="2:6" ht="23.1" customHeight="1" x14ac:dyDescent="0.3">
      <c r="B72" s="68" t="s">
        <v>328</v>
      </c>
      <c r="C72" s="69"/>
      <c r="D72" s="69"/>
      <c r="E72" s="69"/>
      <c r="F72" s="69"/>
    </row>
    <row r="73" spans="2:6" ht="10.050000000000001" customHeight="1" x14ac:dyDescent="0.3"/>
  </sheetData>
  <sheetProtection sheet="1"/>
  <mergeCells count="45">
    <mergeCell ref="B5:F5"/>
    <mergeCell ref="B51:F51"/>
    <mergeCell ref="B63:F63"/>
    <mergeCell ref="D21:F21"/>
    <mergeCell ref="C1:F2"/>
    <mergeCell ref="B56:F56"/>
    <mergeCell ref="B12:C12"/>
    <mergeCell ref="B52:F52"/>
    <mergeCell ref="B70:F70"/>
    <mergeCell ref="B21:C21"/>
    <mergeCell ref="B11:F11"/>
    <mergeCell ref="D12:F12"/>
    <mergeCell ref="B60:F60"/>
    <mergeCell ref="B67:F67"/>
    <mergeCell ref="B14:C14"/>
    <mergeCell ref="B8:F8"/>
    <mergeCell ref="B17:F17"/>
    <mergeCell ref="D15:F15"/>
    <mergeCell ref="B57:F57"/>
    <mergeCell ref="B13:C13"/>
    <mergeCell ref="B3:F3"/>
    <mergeCell ref="B59:F59"/>
    <mergeCell ref="B66:F66"/>
    <mergeCell ref="B22:C22"/>
    <mergeCell ref="B71:F71"/>
    <mergeCell ref="B53:F53"/>
    <mergeCell ref="D14:F14"/>
    <mergeCell ref="B69:F69"/>
    <mergeCell ref="B10:F10"/>
    <mergeCell ref="B19:F19"/>
    <mergeCell ref="D20:F20"/>
    <mergeCell ref="B65:F65"/>
    <mergeCell ref="B68:F68"/>
    <mergeCell ref="B55:F55"/>
    <mergeCell ref="B6:F6"/>
    <mergeCell ref="B15:C15"/>
    <mergeCell ref="B7:F7"/>
    <mergeCell ref="D13:F13"/>
    <mergeCell ref="B54:F54"/>
    <mergeCell ref="B62:F62"/>
    <mergeCell ref="B72:F72"/>
    <mergeCell ref="B24:F24"/>
    <mergeCell ref="B64:F64"/>
    <mergeCell ref="B20:C20"/>
    <mergeCell ref="D22:F22"/>
  </mergeCells>
  <printOptions horizontalCentered="1"/>
  <pageMargins left="0.4" right="0.4" top="1" bottom="1" header="0.5" footer="0.5"/>
  <pageSetup paperSize="9"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6EE13-EC30-40ED-93AA-AB22EB798543}">
  <dimension ref="B1:AB305"/>
  <sheetViews>
    <sheetView showGridLines="0" showRuler="0" zoomScale="83" zoomScaleNormal="100" zoomScalePageLayoutView="56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C30" sqref="C30"/>
    </sheetView>
  </sheetViews>
  <sheetFormatPr defaultRowHeight="13.8" x14ac:dyDescent="0.3"/>
  <cols>
    <col min="1" max="1" width="1.109375" style="15" customWidth="1"/>
    <col min="2" max="2" width="16.6640625" style="15" bestFit="1" customWidth="1"/>
    <col min="3" max="3" width="32.77734375" style="15" customWidth="1"/>
    <col min="4" max="4" width="23.44140625" style="15" customWidth="1"/>
    <col min="5" max="5" width="15.88671875" style="15" customWidth="1"/>
    <col min="6" max="7" width="16.77734375" style="15" customWidth="1"/>
    <col min="8" max="8" width="16.77734375" style="32" customWidth="1"/>
    <col min="9" max="11" width="16.77734375" style="15" customWidth="1"/>
    <col min="12" max="12" width="16.77734375" style="32" customWidth="1"/>
    <col min="13" max="14" width="16.77734375" style="15" customWidth="1"/>
    <col min="15" max="15" width="12.77734375" style="32" customWidth="1"/>
    <col min="16" max="16" width="21.88671875" style="15" customWidth="1"/>
    <col min="17" max="17" width="12.44140625" style="32" customWidth="1"/>
    <col min="18" max="19" width="16.77734375" style="15" customWidth="1"/>
    <col min="20" max="20" width="16.77734375" style="32" customWidth="1"/>
    <col min="21" max="22" width="20.77734375" style="15" customWidth="1"/>
    <col min="23" max="23" width="16.77734375" style="32" customWidth="1"/>
    <col min="24" max="24" width="4" style="15" customWidth="1"/>
    <col min="25" max="25" width="13.6640625" style="15" bestFit="1" customWidth="1"/>
    <col min="26" max="26" width="3" style="15" customWidth="1"/>
    <col min="27" max="16384" width="8.88671875" style="15"/>
  </cols>
  <sheetData>
    <row r="1" spans="2:28" ht="5.4" customHeight="1" x14ac:dyDescent="0.3">
      <c r="H1" s="15"/>
      <c r="L1" s="15"/>
      <c r="O1" s="15"/>
      <c r="Q1" s="15"/>
      <c r="T1" s="15"/>
      <c r="W1" s="15"/>
    </row>
    <row r="2" spans="2:28" ht="62.4" customHeight="1" x14ac:dyDescent="0.3">
      <c r="B2" s="8"/>
      <c r="C2" s="105" t="s">
        <v>22</v>
      </c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</row>
    <row r="3" spans="2:28" ht="6" customHeight="1" x14ac:dyDescent="0.3">
      <c r="H3" s="15"/>
      <c r="L3" s="15"/>
      <c r="O3" s="15"/>
      <c r="Q3" s="15"/>
      <c r="T3" s="15"/>
      <c r="W3" s="15"/>
    </row>
    <row r="4" spans="2:28" ht="27.6" customHeight="1" x14ac:dyDescent="0.3">
      <c r="B4" s="103" t="s">
        <v>16</v>
      </c>
      <c r="C4" s="96" t="s">
        <v>85</v>
      </c>
      <c r="D4" s="96"/>
      <c r="E4" s="98" t="s">
        <v>25</v>
      </c>
      <c r="F4" s="99"/>
      <c r="G4" s="99"/>
      <c r="H4" s="99"/>
      <c r="I4" s="9" t="s">
        <v>26</v>
      </c>
      <c r="J4" s="98" t="s">
        <v>18</v>
      </c>
      <c r="K4" s="99"/>
      <c r="L4" s="108"/>
      <c r="M4" s="97" t="s">
        <v>27</v>
      </c>
      <c r="N4" s="97"/>
      <c r="O4" s="97"/>
      <c r="P4" s="106" t="s">
        <v>28</v>
      </c>
      <c r="Q4" s="107"/>
      <c r="R4" s="96" t="s">
        <v>29</v>
      </c>
      <c r="S4" s="96"/>
      <c r="T4" s="96"/>
      <c r="U4" s="96" t="s">
        <v>31</v>
      </c>
      <c r="V4" s="96"/>
      <c r="W4" s="96"/>
    </row>
    <row r="5" spans="2:28" ht="41.4" x14ac:dyDescent="0.3">
      <c r="B5" s="104"/>
      <c r="C5" s="9" t="s">
        <v>87</v>
      </c>
      <c r="D5" s="9" t="s">
        <v>86</v>
      </c>
      <c r="E5" s="9" t="s">
        <v>32</v>
      </c>
      <c r="F5" s="9" t="s">
        <v>33</v>
      </c>
      <c r="G5" s="9" t="s">
        <v>53</v>
      </c>
      <c r="H5" s="20" t="s">
        <v>43</v>
      </c>
      <c r="I5" s="9" t="s">
        <v>37</v>
      </c>
      <c r="J5" s="9" t="s">
        <v>34</v>
      </c>
      <c r="K5" s="9" t="s">
        <v>35</v>
      </c>
      <c r="L5" s="19" t="s">
        <v>43</v>
      </c>
      <c r="M5" s="9" t="s">
        <v>36</v>
      </c>
      <c r="N5" s="9" t="s">
        <v>20</v>
      </c>
      <c r="O5" s="17" t="s">
        <v>44</v>
      </c>
      <c r="P5" s="9" t="s">
        <v>21</v>
      </c>
      <c r="Q5" s="19" t="s">
        <v>43</v>
      </c>
      <c r="R5" s="9" t="s">
        <v>30</v>
      </c>
      <c r="S5" s="9" t="s">
        <v>38</v>
      </c>
      <c r="T5" s="17" t="s">
        <v>43</v>
      </c>
      <c r="U5" s="9" t="s">
        <v>47</v>
      </c>
      <c r="V5" s="9" t="s">
        <v>39</v>
      </c>
      <c r="W5" s="17" t="s">
        <v>43</v>
      </c>
    </row>
    <row r="6" spans="2:28" x14ac:dyDescent="0.3">
      <c r="B6" s="11" cm="1">
        <f t="array" ref="B6:B305">_xlfn.SEQUENCE(300)</f>
        <v>1</v>
      </c>
      <c r="C6" s="11"/>
      <c r="D6" s="11"/>
      <c r="E6" s="11"/>
      <c r="F6" s="11"/>
      <c r="G6" s="11"/>
      <c r="H6" s="18">
        <f>G6</f>
        <v>0</v>
      </c>
      <c r="I6" s="11"/>
      <c r="J6" s="11"/>
      <c r="K6" s="11"/>
      <c r="L6" s="30" t="e">
        <f>AVERAGE(J6:K6)</f>
        <v>#DIV/0!</v>
      </c>
      <c r="M6" s="11"/>
      <c r="N6" s="11"/>
      <c r="O6" s="18" t="e">
        <f>AVERAGE(M6:N6)</f>
        <v>#DIV/0!</v>
      </c>
      <c r="P6" s="11"/>
      <c r="Q6" s="18">
        <f>P6</f>
        <v>0</v>
      </c>
      <c r="R6" s="12"/>
      <c r="S6" s="12"/>
      <c r="T6" s="18" t="e">
        <f>AVERAGE(R6:S6)</f>
        <v>#DIV/0!</v>
      </c>
      <c r="U6" s="11"/>
      <c r="V6" s="11"/>
      <c r="W6" s="18" t="e">
        <f>AVERAGE(U6:V6)</f>
        <v>#DIV/0!</v>
      </c>
      <c r="Y6" s="13" t="s">
        <v>88</v>
      </c>
      <c r="AA6" s="101" t="s">
        <v>104</v>
      </c>
      <c r="AB6" s="102"/>
    </row>
    <row r="7" spans="2:28" x14ac:dyDescent="0.3">
      <c r="B7" s="11">
        <v>2</v>
      </c>
      <c r="C7" s="11"/>
      <c r="D7" s="11"/>
      <c r="E7" s="11"/>
      <c r="F7" s="11"/>
      <c r="G7" s="11"/>
      <c r="H7" s="18">
        <f t="shared" ref="H7:H25" si="0">G7</f>
        <v>0</v>
      </c>
      <c r="I7" s="11"/>
      <c r="J7" s="11"/>
      <c r="K7" s="11"/>
      <c r="L7" s="30" t="e">
        <f t="shared" ref="L7:L25" si="1">AVERAGE(J7:K7)</f>
        <v>#DIV/0!</v>
      </c>
      <c r="M7" s="11"/>
      <c r="N7" s="11"/>
      <c r="O7" s="18" t="e">
        <f t="shared" ref="O7:O25" si="2">AVERAGE(M7:N7)</f>
        <v>#DIV/0!</v>
      </c>
      <c r="P7" s="11"/>
      <c r="Q7" s="18">
        <f t="shared" ref="Q7:Q25" si="3">P7</f>
        <v>0</v>
      </c>
      <c r="R7" s="12"/>
      <c r="S7" s="12"/>
      <c r="T7" s="18" t="e">
        <f t="shared" ref="T7:T25" si="4">AVERAGE(R7:S7)</f>
        <v>#DIV/0!</v>
      </c>
      <c r="U7" s="11"/>
      <c r="V7" s="11"/>
      <c r="W7" s="18" t="e">
        <f t="shared" ref="W7:W25" si="5">AVERAGE(U7:V7)</f>
        <v>#DIV/0!</v>
      </c>
      <c r="Y7" s="13" t="s">
        <v>89</v>
      </c>
      <c r="AA7" s="14">
        <v>1</v>
      </c>
      <c r="AB7" s="14" t="s">
        <v>105</v>
      </c>
    </row>
    <row r="8" spans="2:28" x14ac:dyDescent="0.3">
      <c r="B8" s="11">
        <v>3</v>
      </c>
      <c r="C8" s="11"/>
      <c r="D8" s="11"/>
      <c r="E8" s="11"/>
      <c r="F8" s="11"/>
      <c r="G8" s="11"/>
      <c r="H8" s="18">
        <f t="shared" si="0"/>
        <v>0</v>
      </c>
      <c r="I8" s="11"/>
      <c r="J8" s="11"/>
      <c r="K8" s="11"/>
      <c r="L8" s="30" t="e">
        <f t="shared" si="1"/>
        <v>#DIV/0!</v>
      </c>
      <c r="M8" s="11"/>
      <c r="N8" s="11"/>
      <c r="O8" s="18" t="e">
        <f t="shared" si="2"/>
        <v>#DIV/0!</v>
      </c>
      <c r="P8" s="11"/>
      <c r="Q8" s="18">
        <f t="shared" si="3"/>
        <v>0</v>
      </c>
      <c r="R8" s="12"/>
      <c r="S8" s="12"/>
      <c r="T8" s="18" t="e">
        <f t="shared" si="4"/>
        <v>#DIV/0!</v>
      </c>
      <c r="U8" s="11"/>
      <c r="V8" s="11"/>
      <c r="W8" s="18" t="e">
        <f t="shared" si="5"/>
        <v>#DIV/0!</v>
      </c>
      <c r="Y8" s="13" t="s">
        <v>91</v>
      </c>
      <c r="AA8" s="14">
        <v>2</v>
      </c>
      <c r="AB8" s="14" t="s">
        <v>97</v>
      </c>
    </row>
    <row r="9" spans="2:28" x14ac:dyDescent="0.3">
      <c r="B9" s="11">
        <v>4</v>
      </c>
      <c r="C9" s="11"/>
      <c r="D9" s="11"/>
      <c r="E9" s="11"/>
      <c r="F9" s="11"/>
      <c r="G9" s="11"/>
      <c r="H9" s="18">
        <f t="shared" si="0"/>
        <v>0</v>
      </c>
      <c r="I9" s="11"/>
      <c r="J9" s="11"/>
      <c r="K9" s="11"/>
      <c r="L9" s="30" t="e">
        <f t="shared" si="1"/>
        <v>#DIV/0!</v>
      </c>
      <c r="M9" s="11"/>
      <c r="N9" s="11"/>
      <c r="O9" s="18" t="e">
        <f t="shared" si="2"/>
        <v>#DIV/0!</v>
      </c>
      <c r="P9" s="11"/>
      <c r="Q9" s="18">
        <f t="shared" si="3"/>
        <v>0</v>
      </c>
      <c r="R9" s="12"/>
      <c r="S9" s="12"/>
      <c r="T9" s="18" t="e">
        <f t="shared" si="4"/>
        <v>#DIV/0!</v>
      </c>
      <c r="U9" s="11"/>
      <c r="V9" s="11"/>
      <c r="W9" s="18" t="e">
        <f t="shared" si="5"/>
        <v>#DIV/0!</v>
      </c>
      <c r="Y9" s="13" t="s">
        <v>92</v>
      </c>
      <c r="AA9" s="14">
        <v>3</v>
      </c>
      <c r="AB9" s="14" t="s">
        <v>56</v>
      </c>
    </row>
    <row r="10" spans="2:28" x14ac:dyDescent="0.3">
      <c r="B10" s="11">
        <v>5</v>
      </c>
      <c r="C10" s="11"/>
      <c r="D10" s="11"/>
      <c r="E10" s="11"/>
      <c r="F10" s="11"/>
      <c r="G10" s="11"/>
      <c r="H10" s="18">
        <f t="shared" si="0"/>
        <v>0</v>
      </c>
      <c r="I10" s="11"/>
      <c r="J10" s="11"/>
      <c r="K10" s="11"/>
      <c r="L10" s="30" t="e">
        <f t="shared" si="1"/>
        <v>#DIV/0!</v>
      </c>
      <c r="M10" s="11"/>
      <c r="N10" s="11"/>
      <c r="O10" s="18" t="e">
        <f t="shared" si="2"/>
        <v>#DIV/0!</v>
      </c>
      <c r="P10" s="11"/>
      <c r="Q10" s="18">
        <f t="shared" si="3"/>
        <v>0</v>
      </c>
      <c r="R10" s="12"/>
      <c r="S10" s="12"/>
      <c r="T10" s="18" t="e">
        <f t="shared" si="4"/>
        <v>#DIV/0!</v>
      </c>
      <c r="U10" s="11"/>
      <c r="V10" s="11"/>
      <c r="W10" s="18" t="e">
        <f t="shared" si="5"/>
        <v>#DIV/0!</v>
      </c>
      <c r="Y10" s="13" t="s">
        <v>90</v>
      </c>
    </row>
    <row r="11" spans="2:28" x14ac:dyDescent="0.3">
      <c r="B11" s="11">
        <v>6</v>
      </c>
      <c r="C11" s="11"/>
      <c r="D11" s="11"/>
      <c r="E11" s="11"/>
      <c r="F11" s="11"/>
      <c r="G11" s="11"/>
      <c r="H11" s="18">
        <f t="shared" si="0"/>
        <v>0</v>
      </c>
      <c r="I11" s="11"/>
      <c r="J11" s="11"/>
      <c r="K11" s="11"/>
      <c r="L11" s="30" t="e">
        <f t="shared" si="1"/>
        <v>#DIV/0!</v>
      </c>
      <c r="M11" s="11"/>
      <c r="N11" s="11"/>
      <c r="O11" s="18" t="e">
        <f t="shared" si="2"/>
        <v>#DIV/0!</v>
      </c>
      <c r="P11" s="11"/>
      <c r="Q11" s="18">
        <f t="shared" si="3"/>
        <v>0</v>
      </c>
      <c r="R11" s="12"/>
      <c r="S11" s="12"/>
      <c r="T11" s="18" t="e">
        <f t="shared" si="4"/>
        <v>#DIV/0!</v>
      </c>
      <c r="U11" s="11"/>
      <c r="V11" s="11"/>
      <c r="W11" s="18" t="e">
        <f t="shared" si="5"/>
        <v>#DIV/0!</v>
      </c>
      <c r="Y11" s="13" t="s">
        <v>88</v>
      </c>
    </row>
    <row r="12" spans="2:28" x14ac:dyDescent="0.3">
      <c r="B12" s="11">
        <v>7</v>
      </c>
      <c r="C12" s="11"/>
      <c r="D12" s="11"/>
      <c r="E12" s="11"/>
      <c r="F12" s="11"/>
      <c r="G12" s="11"/>
      <c r="H12" s="18">
        <f t="shared" si="0"/>
        <v>0</v>
      </c>
      <c r="I12" s="11"/>
      <c r="J12" s="11"/>
      <c r="K12" s="11"/>
      <c r="L12" s="30" t="e">
        <f t="shared" si="1"/>
        <v>#DIV/0!</v>
      </c>
      <c r="M12" s="11"/>
      <c r="N12" s="11"/>
      <c r="O12" s="18" t="e">
        <f t="shared" si="2"/>
        <v>#DIV/0!</v>
      </c>
      <c r="P12" s="11"/>
      <c r="Q12" s="18">
        <f t="shared" si="3"/>
        <v>0</v>
      </c>
      <c r="R12" s="12"/>
      <c r="S12" s="12"/>
      <c r="T12" s="18" t="e">
        <f t="shared" si="4"/>
        <v>#DIV/0!</v>
      </c>
      <c r="U12" s="11"/>
      <c r="V12" s="11"/>
      <c r="W12" s="18" t="e">
        <f t="shared" si="5"/>
        <v>#DIV/0!</v>
      </c>
      <c r="Y12" s="13" t="s">
        <v>93</v>
      </c>
    </row>
    <row r="13" spans="2:28" x14ac:dyDescent="0.3">
      <c r="B13" s="11">
        <v>8</v>
      </c>
      <c r="C13" s="11"/>
      <c r="D13" s="11"/>
      <c r="E13" s="11"/>
      <c r="F13" s="11"/>
      <c r="G13" s="11"/>
      <c r="H13" s="18">
        <f t="shared" si="0"/>
        <v>0</v>
      </c>
      <c r="I13" s="11"/>
      <c r="J13" s="11"/>
      <c r="K13" s="11"/>
      <c r="L13" s="30" t="e">
        <f t="shared" si="1"/>
        <v>#DIV/0!</v>
      </c>
      <c r="M13" s="11"/>
      <c r="N13" s="11"/>
      <c r="O13" s="18" t="e">
        <f t="shared" si="2"/>
        <v>#DIV/0!</v>
      </c>
      <c r="P13" s="11"/>
      <c r="Q13" s="18">
        <f t="shared" si="3"/>
        <v>0</v>
      </c>
      <c r="R13" s="12"/>
      <c r="S13" s="12"/>
      <c r="T13" s="18" t="e">
        <f t="shared" si="4"/>
        <v>#DIV/0!</v>
      </c>
      <c r="U13" s="11"/>
      <c r="V13" s="11"/>
      <c r="W13" s="18" t="e">
        <f t="shared" si="5"/>
        <v>#DIV/0!</v>
      </c>
      <c r="Y13" s="13" t="s">
        <v>88</v>
      </c>
    </row>
    <row r="14" spans="2:28" x14ac:dyDescent="0.3">
      <c r="B14" s="11">
        <v>9</v>
      </c>
      <c r="C14" s="11"/>
      <c r="D14" s="11"/>
      <c r="E14" s="11"/>
      <c r="F14" s="11"/>
      <c r="G14" s="11"/>
      <c r="H14" s="18">
        <f t="shared" si="0"/>
        <v>0</v>
      </c>
      <c r="I14" s="11"/>
      <c r="J14" s="11"/>
      <c r="K14" s="11"/>
      <c r="L14" s="30" t="e">
        <f t="shared" si="1"/>
        <v>#DIV/0!</v>
      </c>
      <c r="M14" s="11"/>
      <c r="N14" s="11"/>
      <c r="O14" s="18" t="e">
        <f t="shared" si="2"/>
        <v>#DIV/0!</v>
      </c>
      <c r="P14" s="11"/>
      <c r="Q14" s="18">
        <f t="shared" si="3"/>
        <v>0</v>
      </c>
      <c r="R14" s="12"/>
      <c r="S14" s="12"/>
      <c r="T14" s="18" t="e">
        <f t="shared" si="4"/>
        <v>#DIV/0!</v>
      </c>
      <c r="U14" s="11"/>
      <c r="V14" s="11"/>
      <c r="W14" s="18" t="e">
        <f t="shared" si="5"/>
        <v>#DIV/0!</v>
      </c>
      <c r="Y14" s="13" t="s">
        <v>90</v>
      </c>
    </row>
    <row r="15" spans="2:28" x14ac:dyDescent="0.3">
      <c r="B15" s="11">
        <v>10</v>
      </c>
      <c r="C15" s="11"/>
      <c r="D15" s="11"/>
      <c r="E15" s="11"/>
      <c r="F15" s="11"/>
      <c r="G15" s="11"/>
      <c r="H15" s="18">
        <f t="shared" si="0"/>
        <v>0</v>
      </c>
      <c r="I15" s="11"/>
      <c r="J15" s="11"/>
      <c r="K15" s="11"/>
      <c r="L15" s="30" t="e">
        <f t="shared" si="1"/>
        <v>#DIV/0!</v>
      </c>
      <c r="M15" s="11"/>
      <c r="N15" s="11"/>
      <c r="O15" s="18" t="e">
        <f t="shared" si="2"/>
        <v>#DIV/0!</v>
      </c>
      <c r="P15" s="11"/>
      <c r="Q15" s="18">
        <f t="shared" si="3"/>
        <v>0</v>
      </c>
      <c r="R15" s="12"/>
      <c r="S15" s="12"/>
      <c r="T15" s="18" t="e">
        <f t="shared" si="4"/>
        <v>#DIV/0!</v>
      </c>
      <c r="U15" s="11"/>
      <c r="V15" s="11"/>
      <c r="W15" s="18" t="e">
        <f t="shared" si="5"/>
        <v>#DIV/0!</v>
      </c>
      <c r="Y15" s="13" t="s">
        <v>94</v>
      </c>
    </row>
    <row r="16" spans="2:28" x14ac:dyDescent="0.3">
      <c r="B16" s="11">
        <v>11</v>
      </c>
      <c r="C16" s="11"/>
      <c r="D16" s="14"/>
      <c r="E16" s="11"/>
      <c r="F16" s="11"/>
      <c r="G16" s="11"/>
      <c r="H16" s="18">
        <f t="shared" si="0"/>
        <v>0</v>
      </c>
      <c r="I16" s="11"/>
      <c r="J16" s="11"/>
      <c r="K16" s="11"/>
      <c r="L16" s="30" t="e">
        <f t="shared" si="1"/>
        <v>#DIV/0!</v>
      </c>
      <c r="M16" s="11"/>
      <c r="N16" s="11"/>
      <c r="O16" s="18" t="e">
        <f t="shared" si="2"/>
        <v>#DIV/0!</v>
      </c>
      <c r="P16" s="11"/>
      <c r="Q16" s="18">
        <f t="shared" si="3"/>
        <v>0</v>
      </c>
      <c r="R16" s="12"/>
      <c r="S16" s="12"/>
      <c r="T16" s="18" t="e">
        <f t="shared" si="4"/>
        <v>#DIV/0!</v>
      </c>
      <c r="U16" s="11"/>
      <c r="V16" s="11"/>
      <c r="W16" s="18" t="e">
        <f t="shared" si="5"/>
        <v>#DIV/0!</v>
      </c>
    </row>
    <row r="17" spans="2:23" x14ac:dyDescent="0.3">
      <c r="B17" s="11">
        <v>12</v>
      </c>
      <c r="C17" s="11"/>
      <c r="D17" s="14"/>
      <c r="E17" s="11"/>
      <c r="F17" s="11"/>
      <c r="G17" s="11"/>
      <c r="H17" s="18">
        <f t="shared" si="0"/>
        <v>0</v>
      </c>
      <c r="I17" s="11"/>
      <c r="J17" s="11"/>
      <c r="K17" s="11"/>
      <c r="L17" s="30" t="e">
        <f t="shared" si="1"/>
        <v>#DIV/0!</v>
      </c>
      <c r="M17" s="11"/>
      <c r="N17" s="11"/>
      <c r="O17" s="18" t="e">
        <f t="shared" si="2"/>
        <v>#DIV/0!</v>
      </c>
      <c r="P17" s="11"/>
      <c r="Q17" s="18">
        <f t="shared" si="3"/>
        <v>0</v>
      </c>
      <c r="R17" s="12"/>
      <c r="S17" s="12"/>
      <c r="T17" s="18" t="e">
        <f t="shared" si="4"/>
        <v>#DIV/0!</v>
      </c>
      <c r="U17" s="11"/>
      <c r="V17" s="11"/>
      <c r="W17" s="18" t="e">
        <f t="shared" si="5"/>
        <v>#DIV/0!</v>
      </c>
    </row>
    <row r="18" spans="2:23" x14ac:dyDescent="0.3">
      <c r="B18" s="11">
        <v>13</v>
      </c>
      <c r="C18" s="11"/>
      <c r="D18" s="14"/>
      <c r="E18" s="53"/>
      <c r="F18" s="11"/>
      <c r="G18" s="11"/>
      <c r="H18" s="18">
        <f t="shared" si="0"/>
        <v>0</v>
      </c>
      <c r="I18" s="11"/>
      <c r="J18" s="11"/>
      <c r="K18" s="11"/>
      <c r="L18" s="30" t="e">
        <f t="shared" si="1"/>
        <v>#DIV/0!</v>
      </c>
      <c r="M18" s="11"/>
      <c r="N18" s="11"/>
      <c r="O18" s="18" t="e">
        <f t="shared" si="2"/>
        <v>#DIV/0!</v>
      </c>
      <c r="P18" s="11"/>
      <c r="Q18" s="18">
        <f t="shared" si="3"/>
        <v>0</v>
      </c>
      <c r="R18" s="12"/>
      <c r="S18" s="12"/>
      <c r="T18" s="18" t="e">
        <f t="shared" si="4"/>
        <v>#DIV/0!</v>
      </c>
      <c r="U18" s="11"/>
      <c r="V18" s="11"/>
      <c r="W18" s="18" t="e">
        <f t="shared" si="5"/>
        <v>#DIV/0!</v>
      </c>
    </row>
    <row r="19" spans="2:23" x14ac:dyDescent="0.3">
      <c r="B19" s="11">
        <v>14</v>
      </c>
      <c r="C19" s="11"/>
      <c r="D19" s="14"/>
      <c r="E19" s="11"/>
      <c r="F19" s="11"/>
      <c r="G19" s="11"/>
      <c r="H19" s="18">
        <f t="shared" si="0"/>
        <v>0</v>
      </c>
      <c r="I19" s="11"/>
      <c r="J19" s="11"/>
      <c r="K19" s="11"/>
      <c r="L19" s="30" t="e">
        <f t="shared" si="1"/>
        <v>#DIV/0!</v>
      </c>
      <c r="M19" s="11"/>
      <c r="N19" s="11"/>
      <c r="O19" s="18" t="e">
        <f t="shared" si="2"/>
        <v>#DIV/0!</v>
      </c>
      <c r="P19" s="11"/>
      <c r="Q19" s="18">
        <f t="shared" si="3"/>
        <v>0</v>
      </c>
      <c r="R19" s="12"/>
      <c r="S19" s="12"/>
      <c r="T19" s="18" t="e">
        <f t="shared" si="4"/>
        <v>#DIV/0!</v>
      </c>
      <c r="U19" s="11"/>
      <c r="V19" s="11"/>
      <c r="W19" s="18" t="e">
        <f t="shared" si="5"/>
        <v>#DIV/0!</v>
      </c>
    </row>
    <row r="20" spans="2:23" x14ac:dyDescent="0.3">
      <c r="B20" s="11">
        <v>15</v>
      </c>
      <c r="C20" s="11"/>
      <c r="D20" s="14"/>
      <c r="E20" s="11"/>
      <c r="F20" s="11"/>
      <c r="G20" s="11"/>
      <c r="H20" s="18">
        <f t="shared" si="0"/>
        <v>0</v>
      </c>
      <c r="I20" s="11"/>
      <c r="J20" s="11"/>
      <c r="K20" s="11"/>
      <c r="L20" s="30" t="e">
        <f t="shared" si="1"/>
        <v>#DIV/0!</v>
      </c>
      <c r="M20" s="11"/>
      <c r="N20" s="11"/>
      <c r="O20" s="18" t="e">
        <f t="shared" si="2"/>
        <v>#DIV/0!</v>
      </c>
      <c r="P20" s="11"/>
      <c r="Q20" s="18">
        <f t="shared" si="3"/>
        <v>0</v>
      </c>
      <c r="R20" s="12"/>
      <c r="S20" s="12"/>
      <c r="T20" s="18" t="e">
        <f t="shared" si="4"/>
        <v>#DIV/0!</v>
      </c>
      <c r="U20" s="11"/>
      <c r="V20" s="11"/>
      <c r="W20" s="18" t="e">
        <f t="shared" si="5"/>
        <v>#DIV/0!</v>
      </c>
    </row>
    <row r="21" spans="2:23" x14ac:dyDescent="0.3">
      <c r="B21" s="11">
        <v>16</v>
      </c>
      <c r="C21" s="11"/>
      <c r="D21" s="14"/>
      <c r="E21" s="11"/>
      <c r="F21" s="11"/>
      <c r="G21" s="11"/>
      <c r="H21" s="18">
        <f t="shared" si="0"/>
        <v>0</v>
      </c>
      <c r="I21" s="11"/>
      <c r="J21" s="11"/>
      <c r="K21" s="11"/>
      <c r="L21" s="30" t="e">
        <f t="shared" si="1"/>
        <v>#DIV/0!</v>
      </c>
      <c r="M21" s="11"/>
      <c r="N21" s="11"/>
      <c r="O21" s="18" t="e">
        <f t="shared" si="2"/>
        <v>#DIV/0!</v>
      </c>
      <c r="P21" s="11"/>
      <c r="Q21" s="18">
        <f t="shared" si="3"/>
        <v>0</v>
      </c>
      <c r="R21" s="12"/>
      <c r="S21" s="12"/>
      <c r="T21" s="18" t="e">
        <f t="shared" si="4"/>
        <v>#DIV/0!</v>
      </c>
      <c r="U21" s="11"/>
      <c r="V21" s="11"/>
      <c r="W21" s="18" t="e">
        <f t="shared" si="5"/>
        <v>#DIV/0!</v>
      </c>
    </row>
    <row r="22" spans="2:23" x14ac:dyDescent="0.3">
      <c r="B22" s="11">
        <v>17</v>
      </c>
      <c r="C22" s="11"/>
      <c r="D22" s="14"/>
      <c r="E22" s="11"/>
      <c r="F22" s="11"/>
      <c r="G22" s="11"/>
      <c r="H22" s="18">
        <f t="shared" si="0"/>
        <v>0</v>
      </c>
      <c r="I22" s="11"/>
      <c r="J22" s="11"/>
      <c r="K22" s="11"/>
      <c r="L22" s="30" t="e">
        <f t="shared" si="1"/>
        <v>#DIV/0!</v>
      </c>
      <c r="M22" s="11"/>
      <c r="N22" s="11"/>
      <c r="O22" s="18" t="e">
        <f t="shared" si="2"/>
        <v>#DIV/0!</v>
      </c>
      <c r="P22" s="11"/>
      <c r="Q22" s="18">
        <f t="shared" si="3"/>
        <v>0</v>
      </c>
      <c r="R22" s="12"/>
      <c r="S22" s="12"/>
      <c r="T22" s="18" t="e">
        <f t="shared" si="4"/>
        <v>#DIV/0!</v>
      </c>
      <c r="U22" s="11"/>
      <c r="V22" s="11"/>
      <c r="W22" s="18" t="e">
        <f t="shared" si="5"/>
        <v>#DIV/0!</v>
      </c>
    </row>
    <row r="23" spans="2:23" x14ac:dyDescent="0.3">
      <c r="B23" s="11">
        <v>18</v>
      </c>
      <c r="C23" s="11"/>
      <c r="D23" s="14"/>
      <c r="E23" s="11"/>
      <c r="F23" s="11"/>
      <c r="G23" s="11"/>
      <c r="H23" s="18">
        <f t="shared" si="0"/>
        <v>0</v>
      </c>
      <c r="I23" s="11"/>
      <c r="J23" s="11"/>
      <c r="K23" s="11"/>
      <c r="L23" s="30" t="e">
        <f t="shared" si="1"/>
        <v>#DIV/0!</v>
      </c>
      <c r="M23" s="11"/>
      <c r="N23" s="11"/>
      <c r="O23" s="18" t="e">
        <f t="shared" si="2"/>
        <v>#DIV/0!</v>
      </c>
      <c r="P23" s="11"/>
      <c r="Q23" s="18">
        <f t="shared" si="3"/>
        <v>0</v>
      </c>
      <c r="R23" s="12"/>
      <c r="S23" s="12"/>
      <c r="T23" s="18" t="e">
        <f t="shared" si="4"/>
        <v>#DIV/0!</v>
      </c>
      <c r="U23" s="11"/>
      <c r="V23" s="11"/>
      <c r="W23" s="18" t="e">
        <f t="shared" si="5"/>
        <v>#DIV/0!</v>
      </c>
    </row>
    <row r="24" spans="2:23" x14ac:dyDescent="0.3">
      <c r="B24" s="11">
        <v>19</v>
      </c>
      <c r="C24" s="11"/>
      <c r="D24" s="14"/>
      <c r="E24" s="11"/>
      <c r="F24" s="11"/>
      <c r="G24" s="11"/>
      <c r="H24" s="18">
        <f t="shared" si="0"/>
        <v>0</v>
      </c>
      <c r="I24" s="11"/>
      <c r="J24" s="11"/>
      <c r="K24" s="11"/>
      <c r="L24" s="30" t="e">
        <f t="shared" si="1"/>
        <v>#DIV/0!</v>
      </c>
      <c r="M24" s="11"/>
      <c r="N24" s="11"/>
      <c r="O24" s="18" t="e">
        <f t="shared" si="2"/>
        <v>#DIV/0!</v>
      </c>
      <c r="P24" s="11"/>
      <c r="Q24" s="18">
        <f t="shared" si="3"/>
        <v>0</v>
      </c>
      <c r="R24" s="12"/>
      <c r="S24" s="12"/>
      <c r="T24" s="18" t="e">
        <f t="shared" si="4"/>
        <v>#DIV/0!</v>
      </c>
      <c r="U24" s="11"/>
      <c r="V24" s="11"/>
      <c r="W24" s="18" t="e">
        <f t="shared" si="5"/>
        <v>#DIV/0!</v>
      </c>
    </row>
    <row r="25" spans="2:23" x14ac:dyDescent="0.3">
      <c r="B25" s="11">
        <v>20</v>
      </c>
      <c r="C25" s="11"/>
      <c r="D25" s="14"/>
      <c r="E25" s="11"/>
      <c r="F25" s="11"/>
      <c r="G25" s="11"/>
      <c r="H25" s="18">
        <f t="shared" si="0"/>
        <v>0</v>
      </c>
      <c r="I25" s="11"/>
      <c r="J25" s="11"/>
      <c r="K25" s="11"/>
      <c r="L25" s="30" t="e">
        <f t="shared" si="1"/>
        <v>#DIV/0!</v>
      </c>
      <c r="M25" s="11"/>
      <c r="N25" s="11"/>
      <c r="O25" s="18" t="e">
        <f t="shared" si="2"/>
        <v>#DIV/0!</v>
      </c>
      <c r="P25" s="11"/>
      <c r="Q25" s="18">
        <f t="shared" si="3"/>
        <v>0</v>
      </c>
      <c r="R25" s="12"/>
      <c r="S25" s="12"/>
      <c r="T25" s="18" t="e">
        <f t="shared" si="4"/>
        <v>#DIV/0!</v>
      </c>
      <c r="U25" s="11"/>
      <c r="V25" s="11"/>
      <c r="W25" s="18" t="e">
        <f t="shared" si="5"/>
        <v>#DIV/0!</v>
      </c>
    </row>
    <row r="26" spans="2:23" x14ac:dyDescent="0.3">
      <c r="B26" s="11">
        <v>21</v>
      </c>
      <c r="C26" s="11"/>
      <c r="D26" s="14"/>
      <c r="E26" s="11"/>
      <c r="F26" s="11"/>
      <c r="G26" s="11"/>
      <c r="H26" s="18">
        <f t="shared" ref="H26:H89" si="6">G26</f>
        <v>0</v>
      </c>
      <c r="I26" s="11"/>
      <c r="J26" s="11"/>
      <c r="K26" s="11"/>
      <c r="L26" s="30" t="e">
        <f t="shared" ref="L26:L89" si="7">AVERAGE(J26:K26)</f>
        <v>#DIV/0!</v>
      </c>
      <c r="M26" s="11"/>
      <c r="N26" s="11"/>
      <c r="O26" s="18" t="e">
        <f t="shared" ref="O26:O89" si="8">AVERAGE(M26:N26)</f>
        <v>#DIV/0!</v>
      </c>
      <c r="P26" s="11"/>
      <c r="Q26" s="18">
        <f t="shared" ref="Q26:Q89" si="9">P26</f>
        <v>0</v>
      </c>
      <c r="R26" s="12"/>
      <c r="S26" s="12"/>
      <c r="T26" s="18" t="e">
        <f t="shared" ref="T26:T89" si="10">AVERAGE(R26:S26)</f>
        <v>#DIV/0!</v>
      </c>
      <c r="U26" s="11"/>
      <c r="V26" s="11"/>
      <c r="W26" s="18" t="e">
        <f t="shared" ref="W26:W89" si="11">AVERAGE(U26:V26)</f>
        <v>#DIV/0!</v>
      </c>
    </row>
    <row r="27" spans="2:23" x14ac:dyDescent="0.3">
      <c r="B27" s="11">
        <v>22</v>
      </c>
      <c r="C27" s="11"/>
      <c r="D27" s="14"/>
      <c r="E27" s="11"/>
      <c r="F27" s="11"/>
      <c r="G27" s="11"/>
      <c r="H27" s="18">
        <f t="shared" si="6"/>
        <v>0</v>
      </c>
      <c r="I27" s="11"/>
      <c r="J27" s="11"/>
      <c r="K27" s="11"/>
      <c r="L27" s="30" t="e">
        <f t="shared" si="7"/>
        <v>#DIV/0!</v>
      </c>
      <c r="M27" s="11"/>
      <c r="N27" s="11"/>
      <c r="O27" s="18" t="e">
        <f t="shared" si="8"/>
        <v>#DIV/0!</v>
      </c>
      <c r="P27" s="11"/>
      <c r="Q27" s="18">
        <f t="shared" si="9"/>
        <v>0</v>
      </c>
      <c r="R27" s="12"/>
      <c r="S27" s="12"/>
      <c r="T27" s="18" t="e">
        <f t="shared" si="10"/>
        <v>#DIV/0!</v>
      </c>
      <c r="U27" s="11"/>
      <c r="V27" s="11"/>
      <c r="W27" s="18" t="e">
        <f t="shared" si="11"/>
        <v>#DIV/0!</v>
      </c>
    </row>
    <row r="28" spans="2:23" x14ac:dyDescent="0.3">
      <c r="B28" s="11">
        <v>23</v>
      </c>
      <c r="C28" s="11"/>
      <c r="D28" s="14"/>
      <c r="E28" s="11"/>
      <c r="F28" s="11"/>
      <c r="G28" s="11"/>
      <c r="H28" s="18">
        <f t="shared" si="6"/>
        <v>0</v>
      </c>
      <c r="I28" s="11"/>
      <c r="J28" s="11"/>
      <c r="K28" s="11"/>
      <c r="L28" s="30" t="e">
        <f t="shared" si="7"/>
        <v>#DIV/0!</v>
      </c>
      <c r="M28" s="11"/>
      <c r="N28" s="11"/>
      <c r="O28" s="18" t="e">
        <f t="shared" si="8"/>
        <v>#DIV/0!</v>
      </c>
      <c r="P28" s="11"/>
      <c r="Q28" s="18">
        <f t="shared" si="9"/>
        <v>0</v>
      </c>
      <c r="R28" s="12"/>
      <c r="S28" s="12"/>
      <c r="T28" s="18" t="e">
        <f t="shared" si="10"/>
        <v>#DIV/0!</v>
      </c>
      <c r="U28" s="11"/>
      <c r="V28" s="11"/>
      <c r="W28" s="18" t="e">
        <f t="shared" si="11"/>
        <v>#DIV/0!</v>
      </c>
    </row>
    <row r="29" spans="2:23" x14ac:dyDescent="0.3">
      <c r="B29" s="11">
        <v>24</v>
      </c>
      <c r="C29" s="11"/>
      <c r="D29" s="14"/>
      <c r="E29" s="11"/>
      <c r="F29" s="11"/>
      <c r="G29" s="11"/>
      <c r="H29" s="18">
        <f t="shared" si="6"/>
        <v>0</v>
      </c>
      <c r="I29" s="11"/>
      <c r="J29" s="11"/>
      <c r="K29" s="11"/>
      <c r="L29" s="30" t="e">
        <f t="shared" si="7"/>
        <v>#DIV/0!</v>
      </c>
      <c r="M29" s="11"/>
      <c r="N29" s="11"/>
      <c r="O29" s="18" t="e">
        <f t="shared" si="8"/>
        <v>#DIV/0!</v>
      </c>
      <c r="P29" s="11"/>
      <c r="Q29" s="18">
        <f t="shared" si="9"/>
        <v>0</v>
      </c>
      <c r="R29" s="12"/>
      <c r="S29" s="12"/>
      <c r="T29" s="18" t="e">
        <f t="shared" si="10"/>
        <v>#DIV/0!</v>
      </c>
      <c r="U29" s="11"/>
      <c r="V29" s="11"/>
      <c r="W29" s="18" t="e">
        <f t="shared" si="11"/>
        <v>#DIV/0!</v>
      </c>
    </row>
    <row r="30" spans="2:23" x14ac:dyDescent="0.3">
      <c r="B30" s="11">
        <v>25</v>
      </c>
      <c r="C30" s="11"/>
      <c r="D30" s="14"/>
      <c r="E30" s="11"/>
      <c r="F30" s="11"/>
      <c r="G30" s="11"/>
      <c r="H30" s="18">
        <f t="shared" si="6"/>
        <v>0</v>
      </c>
      <c r="I30" s="11"/>
      <c r="J30" s="11"/>
      <c r="K30" s="11"/>
      <c r="L30" s="30" t="e">
        <f t="shared" si="7"/>
        <v>#DIV/0!</v>
      </c>
      <c r="M30" s="11"/>
      <c r="N30" s="11"/>
      <c r="O30" s="18" t="e">
        <f t="shared" si="8"/>
        <v>#DIV/0!</v>
      </c>
      <c r="P30" s="11"/>
      <c r="Q30" s="18">
        <f t="shared" si="9"/>
        <v>0</v>
      </c>
      <c r="R30" s="12"/>
      <c r="S30" s="12"/>
      <c r="T30" s="18" t="e">
        <f t="shared" si="10"/>
        <v>#DIV/0!</v>
      </c>
      <c r="U30" s="11"/>
      <c r="V30" s="11"/>
      <c r="W30" s="18" t="e">
        <f t="shared" si="11"/>
        <v>#DIV/0!</v>
      </c>
    </row>
    <row r="31" spans="2:23" x14ac:dyDescent="0.3">
      <c r="B31" s="11">
        <v>26</v>
      </c>
      <c r="C31" s="11"/>
      <c r="D31" s="14"/>
      <c r="E31" s="11"/>
      <c r="F31" s="11"/>
      <c r="G31" s="11"/>
      <c r="H31" s="18">
        <f t="shared" si="6"/>
        <v>0</v>
      </c>
      <c r="I31" s="11"/>
      <c r="J31" s="11"/>
      <c r="K31" s="11"/>
      <c r="L31" s="30" t="e">
        <f t="shared" si="7"/>
        <v>#DIV/0!</v>
      </c>
      <c r="M31" s="11"/>
      <c r="N31" s="11"/>
      <c r="O31" s="18" t="e">
        <f t="shared" si="8"/>
        <v>#DIV/0!</v>
      </c>
      <c r="P31" s="11"/>
      <c r="Q31" s="18">
        <f t="shared" si="9"/>
        <v>0</v>
      </c>
      <c r="R31" s="12"/>
      <c r="S31" s="12"/>
      <c r="T31" s="18" t="e">
        <f t="shared" si="10"/>
        <v>#DIV/0!</v>
      </c>
      <c r="U31" s="11"/>
      <c r="V31" s="11"/>
      <c r="W31" s="18" t="e">
        <f t="shared" si="11"/>
        <v>#DIV/0!</v>
      </c>
    </row>
    <row r="32" spans="2:23" x14ac:dyDescent="0.3">
      <c r="B32" s="11">
        <v>27</v>
      </c>
      <c r="C32" s="11"/>
      <c r="D32" s="14"/>
      <c r="E32" s="11"/>
      <c r="F32" s="11"/>
      <c r="G32" s="11"/>
      <c r="H32" s="18">
        <f t="shared" si="6"/>
        <v>0</v>
      </c>
      <c r="I32" s="11"/>
      <c r="J32" s="11"/>
      <c r="K32" s="11"/>
      <c r="L32" s="30" t="e">
        <f t="shared" si="7"/>
        <v>#DIV/0!</v>
      </c>
      <c r="M32" s="11"/>
      <c r="N32" s="11"/>
      <c r="O32" s="18" t="e">
        <f t="shared" si="8"/>
        <v>#DIV/0!</v>
      </c>
      <c r="P32" s="11"/>
      <c r="Q32" s="18">
        <f t="shared" si="9"/>
        <v>0</v>
      </c>
      <c r="R32" s="12"/>
      <c r="S32" s="12"/>
      <c r="T32" s="18" t="e">
        <f t="shared" si="10"/>
        <v>#DIV/0!</v>
      </c>
      <c r="U32" s="11"/>
      <c r="V32" s="11"/>
      <c r="W32" s="18" t="e">
        <f t="shared" si="11"/>
        <v>#DIV/0!</v>
      </c>
    </row>
    <row r="33" spans="2:23" x14ac:dyDescent="0.3">
      <c r="B33" s="11">
        <v>28</v>
      </c>
      <c r="C33" s="11"/>
      <c r="D33" s="14"/>
      <c r="E33" s="11"/>
      <c r="F33" s="11"/>
      <c r="G33" s="11"/>
      <c r="H33" s="18">
        <f t="shared" si="6"/>
        <v>0</v>
      </c>
      <c r="I33" s="11"/>
      <c r="J33" s="11"/>
      <c r="K33" s="11"/>
      <c r="L33" s="30" t="e">
        <f t="shared" si="7"/>
        <v>#DIV/0!</v>
      </c>
      <c r="M33" s="11"/>
      <c r="N33" s="11"/>
      <c r="O33" s="18" t="e">
        <f t="shared" si="8"/>
        <v>#DIV/0!</v>
      </c>
      <c r="P33" s="11"/>
      <c r="Q33" s="18">
        <f t="shared" si="9"/>
        <v>0</v>
      </c>
      <c r="R33" s="12"/>
      <c r="S33" s="12"/>
      <c r="T33" s="18" t="e">
        <f t="shared" si="10"/>
        <v>#DIV/0!</v>
      </c>
      <c r="U33" s="11"/>
      <c r="V33" s="11"/>
      <c r="W33" s="18" t="e">
        <f t="shared" si="11"/>
        <v>#DIV/0!</v>
      </c>
    </row>
    <row r="34" spans="2:23" x14ac:dyDescent="0.3">
      <c r="B34" s="11">
        <v>29</v>
      </c>
      <c r="C34" s="11"/>
      <c r="D34" s="14"/>
      <c r="E34" s="11"/>
      <c r="F34" s="11"/>
      <c r="G34" s="11"/>
      <c r="H34" s="18">
        <f t="shared" si="6"/>
        <v>0</v>
      </c>
      <c r="I34" s="11"/>
      <c r="J34" s="11"/>
      <c r="K34" s="11"/>
      <c r="L34" s="30" t="e">
        <f t="shared" si="7"/>
        <v>#DIV/0!</v>
      </c>
      <c r="M34" s="11"/>
      <c r="N34" s="11"/>
      <c r="O34" s="18" t="e">
        <f t="shared" si="8"/>
        <v>#DIV/0!</v>
      </c>
      <c r="P34" s="11"/>
      <c r="Q34" s="18">
        <f t="shared" si="9"/>
        <v>0</v>
      </c>
      <c r="R34" s="12"/>
      <c r="S34" s="12"/>
      <c r="T34" s="18" t="e">
        <f t="shared" si="10"/>
        <v>#DIV/0!</v>
      </c>
      <c r="U34" s="11"/>
      <c r="V34" s="11"/>
      <c r="W34" s="18" t="e">
        <f t="shared" si="11"/>
        <v>#DIV/0!</v>
      </c>
    </row>
    <row r="35" spans="2:23" x14ac:dyDescent="0.3">
      <c r="B35" s="11">
        <v>30</v>
      </c>
      <c r="C35" s="11"/>
      <c r="D35" s="14"/>
      <c r="E35" s="11"/>
      <c r="F35" s="11"/>
      <c r="G35" s="11"/>
      <c r="H35" s="18">
        <f t="shared" si="6"/>
        <v>0</v>
      </c>
      <c r="I35" s="11"/>
      <c r="J35" s="11"/>
      <c r="K35" s="11"/>
      <c r="L35" s="30" t="e">
        <f t="shared" si="7"/>
        <v>#DIV/0!</v>
      </c>
      <c r="M35" s="11"/>
      <c r="N35" s="11"/>
      <c r="O35" s="18" t="e">
        <f t="shared" si="8"/>
        <v>#DIV/0!</v>
      </c>
      <c r="P35" s="11"/>
      <c r="Q35" s="18">
        <f t="shared" si="9"/>
        <v>0</v>
      </c>
      <c r="R35" s="12"/>
      <c r="S35" s="12"/>
      <c r="T35" s="18" t="e">
        <f t="shared" si="10"/>
        <v>#DIV/0!</v>
      </c>
      <c r="U35" s="11"/>
      <c r="V35" s="11"/>
      <c r="W35" s="18" t="e">
        <f t="shared" si="11"/>
        <v>#DIV/0!</v>
      </c>
    </row>
    <row r="36" spans="2:23" x14ac:dyDescent="0.3">
      <c r="B36" s="11">
        <v>31</v>
      </c>
      <c r="C36" s="11"/>
      <c r="D36" s="14"/>
      <c r="E36" s="11"/>
      <c r="F36" s="11"/>
      <c r="G36" s="11"/>
      <c r="H36" s="18">
        <f t="shared" si="6"/>
        <v>0</v>
      </c>
      <c r="I36" s="11"/>
      <c r="J36" s="11"/>
      <c r="K36" s="11"/>
      <c r="L36" s="30" t="e">
        <f t="shared" si="7"/>
        <v>#DIV/0!</v>
      </c>
      <c r="M36" s="11"/>
      <c r="N36" s="11"/>
      <c r="O36" s="18" t="e">
        <f t="shared" si="8"/>
        <v>#DIV/0!</v>
      </c>
      <c r="P36" s="11"/>
      <c r="Q36" s="18">
        <f t="shared" si="9"/>
        <v>0</v>
      </c>
      <c r="R36" s="12"/>
      <c r="S36" s="12"/>
      <c r="T36" s="18" t="e">
        <f t="shared" si="10"/>
        <v>#DIV/0!</v>
      </c>
      <c r="U36" s="11"/>
      <c r="V36" s="11"/>
      <c r="W36" s="18" t="e">
        <f t="shared" si="11"/>
        <v>#DIV/0!</v>
      </c>
    </row>
    <row r="37" spans="2:23" x14ac:dyDescent="0.3">
      <c r="B37" s="11">
        <v>32</v>
      </c>
      <c r="C37" s="11"/>
      <c r="D37" s="14"/>
      <c r="E37" s="11"/>
      <c r="F37" s="11"/>
      <c r="G37" s="11"/>
      <c r="H37" s="18">
        <f t="shared" si="6"/>
        <v>0</v>
      </c>
      <c r="I37" s="11"/>
      <c r="J37" s="11"/>
      <c r="K37" s="11"/>
      <c r="L37" s="30" t="e">
        <f t="shared" si="7"/>
        <v>#DIV/0!</v>
      </c>
      <c r="M37" s="11"/>
      <c r="N37" s="11"/>
      <c r="O37" s="18" t="e">
        <f t="shared" si="8"/>
        <v>#DIV/0!</v>
      </c>
      <c r="P37" s="11"/>
      <c r="Q37" s="18">
        <f t="shared" si="9"/>
        <v>0</v>
      </c>
      <c r="R37" s="12"/>
      <c r="S37" s="12"/>
      <c r="T37" s="18" t="e">
        <f t="shared" si="10"/>
        <v>#DIV/0!</v>
      </c>
      <c r="U37" s="11"/>
      <c r="V37" s="11"/>
      <c r="W37" s="18" t="e">
        <f t="shared" si="11"/>
        <v>#DIV/0!</v>
      </c>
    </row>
    <row r="38" spans="2:23" x14ac:dyDescent="0.3">
      <c r="B38" s="11">
        <v>33</v>
      </c>
      <c r="C38" s="11"/>
      <c r="D38" s="14"/>
      <c r="E38" s="11"/>
      <c r="F38" s="11"/>
      <c r="G38" s="11"/>
      <c r="H38" s="18">
        <f t="shared" si="6"/>
        <v>0</v>
      </c>
      <c r="I38" s="11"/>
      <c r="J38" s="11"/>
      <c r="K38" s="11"/>
      <c r="L38" s="30" t="e">
        <f t="shared" si="7"/>
        <v>#DIV/0!</v>
      </c>
      <c r="M38" s="11"/>
      <c r="N38" s="11"/>
      <c r="O38" s="18" t="e">
        <f t="shared" si="8"/>
        <v>#DIV/0!</v>
      </c>
      <c r="P38" s="11"/>
      <c r="Q38" s="18">
        <f t="shared" si="9"/>
        <v>0</v>
      </c>
      <c r="R38" s="12"/>
      <c r="S38" s="12"/>
      <c r="T38" s="18" t="e">
        <f t="shared" si="10"/>
        <v>#DIV/0!</v>
      </c>
      <c r="U38" s="11"/>
      <c r="V38" s="11"/>
      <c r="W38" s="18" t="e">
        <f t="shared" si="11"/>
        <v>#DIV/0!</v>
      </c>
    </row>
    <row r="39" spans="2:23" x14ac:dyDescent="0.3">
      <c r="B39" s="11">
        <v>34</v>
      </c>
      <c r="C39" s="11"/>
      <c r="D39" s="14"/>
      <c r="E39" s="11"/>
      <c r="F39" s="11"/>
      <c r="G39" s="11"/>
      <c r="H39" s="18">
        <f t="shared" si="6"/>
        <v>0</v>
      </c>
      <c r="I39" s="11"/>
      <c r="J39" s="11"/>
      <c r="K39" s="11"/>
      <c r="L39" s="30" t="e">
        <f t="shared" si="7"/>
        <v>#DIV/0!</v>
      </c>
      <c r="M39" s="11"/>
      <c r="N39" s="11"/>
      <c r="O39" s="18" t="e">
        <f t="shared" si="8"/>
        <v>#DIV/0!</v>
      </c>
      <c r="P39" s="11"/>
      <c r="Q39" s="18">
        <f t="shared" si="9"/>
        <v>0</v>
      </c>
      <c r="R39" s="12"/>
      <c r="S39" s="12"/>
      <c r="T39" s="18" t="e">
        <f t="shared" si="10"/>
        <v>#DIV/0!</v>
      </c>
      <c r="U39" s="11"/>
      <c r="V39" s="11"/>
      <c r="W39" s="18" t="e">
        <f t="shared" si="11"/>
        <v>#DIV/0!</v>
      </c>
    </row>
    <row r="40" spans="2:23" x14ac:dyDescent="0.3">
      <c r="B40" s="11">
        <v>35</v>
      </c>
      <c r="C40" s="11"/>
      <c r="D40" s="14"/>
      <c r="E40" s="11"/>
      <c r="F40" s="11"/>
      <c r="G40" s="11"/>
      <c r="H40" s="18">
        <f t="shared" si="6"/>
        <v>0</v>
      </c>
      <c r="I40" s="11"/>
      <c r="J40" s="11"/>
      <c r="K40" s="11"/>
      <c r="L40" s="30" t="e">
        <f t="shared" si="7"/>
        <v>#DIV/0!</v>
      </c>
      <c r="M40" s="11"/>
      <c r="N40" s="11"/>
      <c r="O40" s="18" t="e">
        <f t="shared" si="8"/>
        <v>#DIV/0!</v>
      </c>
      <c r="P40" s="11"/>
      <c r="Q40" s="18">
        <f t="shared" si="9"/>
        <v>0</v>
      </c>
      <c r="R40" s="12"/>
      <c r="S40" s="12"/>
      <c r="T40" s="18" t="e">
        <f t="shared" si="10"/>
        <v>#DIV/0!</v>
      </c>
      <c r="U40" s="11"/>
      <c r="V40" s="11"/>
      <c r="W40" s="18" t="e">
        <f t="shared" si="11"/>
        <v>#DIV/0!</v>
      </c>
    </row>
    <row r="41" spans="2:23" x14ac:dyDescent="0.3">
      <c r="B41" s="11">
        <v>36</v>
      </c>
      <c r="C41" s="11"/>
      <c r="D41" s="14"/>
      <c r="E41" s="11"/>
      <c r="F41" s="11"/>
      <c r="G41" s="11"/>
      <c r="H41" s="18">
        <f t="shared" si="6"/>
        <v>0</v>
      </c>
      <c r="I41" s="11"/>
      <c r="J41" s="11"/>
      <c r="K41" s="11"/>
      <c r="L41" s="30" t="e">
        <f t="shared" si="7"/>
        <v>#DIV/0!</v>
      </c>
      <c r="M41" s="11"/>
      <c r="N41" s="11"/>
      <c r="O41" s="18" t="e">
        <f t="shared" si="8"/>
        <v>#DIV/0!</v>
      </c>
      <c r="P41" s="11"/>
      <c r="Q41" s="18">
        <f t="shared" si="9"/>
        <v>0</v>
      </c>
      <c r="R41" s="12"/>
      <c r="S41" s="12"/>
      <c r="T41" s="18" t="e">
        <f t="shared" si="10"/>
        <v>#DIV/0!</v>
      </c>
      <c r="U41" s="11"/>
      <c r="V41" s="11"/>
      <c r="W41" s="18" t="e">
        <f t="shared" si="11"/>
        <v>#DIV/0!</v>
      </c>
    </row>
    <row r="42" spans="2:23" x14ac:dyDescent="0.3">
      <c r="B42" s="11">
        <v>37</v>
      </c>
      <c r="C42" s="11"/>
      <c r="D42" s="14"/>
      <c r="E42" s="11"/>
      <c r="F42" s="11"/>
      <c r="G42" s="11"/>
      <c r="H42" s="18">
        <f t="shared" si="6"/>
        <v>0</v>
      </c>
      <c r="I42" s="11"/>
      <c r="J42" s="11"/>
      <c r="K42" s="11"/>
      <c r="L42" s="30" t="e">
        <f t="shared" si="7"/>
        <v>#DIV/0!</v>
      </c>
      <c r="M42" s="11"/>
      <c r="N42" s="11"/>
      <c r="O42" s="18" t="e">
        <f t="shared" si="8"/>
        <v>#DIV/0!</v>
      </c>
      <c r="P42" s="11"/>
      <c r="Q42" s="18">
        <f t="shared" si="9"/>
        <v>0</v>
      </c>
      <c r="R42" s="12"/>
      <c r="S42" s="12"/>
      <c r="T42" s="18" t="e">
        <f t="shared" si="10"/>
        <v>#DIV/0!</v>
      </c>
      <c r="U42" s="11"/>
      <c r="V42" s="11"/>
      <c r="W42" s="18" t="e">
        <f t="shared" si="11"/>
        <v>#DIV/0!</v>
      </c>
    </row>
    <row r="43" spans="2:23" x14ac:dyDescent="0.3">
      <c r="B43" s="11">
        <v>38</v>
      </c>
      <c r="C43" s="11"/>
      <c r="D43" s="14"/>
      <c r="E43" s="11"/>
      <c r="F43" s="11"/>
      <c r="G43" s="11"/>
      <c r="H43" s="18">
        <f t="shared" si="6"/>
        <v>0</v>
      </c>
      <c r="I43" s="11"/>
      <c r="J43" s="11"/>
      <c r="K43" s="11"/>
      <c r="L43" s="30" t="e">
        <f t="shared" si="7"/>
        <v>#DIV/0!</v>
      </c>
      <c r="M43" s="11"/>
      <c r="N43" s="11"/>
      <c r="O43" s="18" t="e">
        <f t="shared" si="8"/>
        <v>#DIV/0!</v>
      </c>
      <c r="P43" s="11"/>
      <c r="Q43" s="18">
        <f t="shared" si="9"/>
        <v>0</v>
      </c>
      <c r="R43" s="12"/>
      <c r="S43" s="12"/>
      <c r="T43" s="18" t="e">
        <f t="shared" si="10"/>
        <v>#DIV/0!</v>
      </c>
      <c r="U43" s="11"/>
      <c r="V43" s="11"/>
      <c r="W43" s="18" t="e">
        <f t="shared" si="11"/>
        <v>#DIV/0!</v>
      </c>
    </row>
    <row r="44" spans="2:23" x14ac:dyDescent="0.3">
      <c r="B44" s="11">
        <v>39</v>
      </c>
      <c r="C44" s="11"/>
      <c r="D44" s="14"/>
      <c r="E44" s="11"/>
      <c r="F44" s="11"/>
      <c r="G44" s="11"/>
      <c r="H44" s="18">
        <f t="shared" si="6"/>
        <v>0</v>
      </c>
      <c r="I44" s="11"/>
      <c r="J44" s="11"/>
      <c r="K44" s="11"/>
      <c r="L44" s="30" t="e">
        <f t="shared" si="7"/>
        <v>#DIV/0!</v>
      </c>
      <c r="M44" s="11"/>
      <c r="N44" s="11"/>
      <c r="O44" s="18" t="e">
        <f t="shared" si="8"/>
        <v>#DIV/0!</v>
      </c>
      <c r="P44" s="11"/>
      <c r="Q44" s="18">
        <f t="shared" si="9"/>
        <v>0</v>
      </c>
      <c r="R44" s="12"/>
      <c r="S44" s="12"/>
      <c r="T44" s="18" t="e">
        <f t="shared" si="10"/>
        <v>#DIV/0!</v>
      </c>
      <c r="U44" s="11"/>
      <c r="V44" s="11"/>
      <c r="W44" s="18" t="e">
        <f t="shared" si="11"/>
        <v>#DIV/0!</v>
      </c>
    </row>
    <row r="45" spans="2:23" x14ac:dyDescent="0.3">
      <c r="B45" s="11">
        <v>40</v>
      </c>
      <c r="C45" s="11"/>
      <c r="D45" s="14"/>
      <c r="E45" s="11"/>
      <c r="F45" s="11"/>
      <c r="G45" s="11"/>
      <c r="H45" s="18">
        <f t="shared" si="6"/>
        <v>0</v>
      </c>
      <c r="I45" s="11"/>
      <c r="J45" s="11"/>
      <c r="K45" s="11"/>
      <c r="L45" s="30" t="e">
        <f t="shared" si="7"/>
        <v>#DIV/0!</v>
      </c>
      <c r="M45" s="11"/>
      <c r="N45" s="11"/>
      <c r="O45" s="18" t="e">
        <f t="shared" si="8"/>
        <v>#DIV/0!</v>
      </c>
      <c r="P45" s="11"/>
      <c r="Q45" s="18">
        <f t="shared" si="9"/>
        <v>0</v>
      </c>
      <c r="R45" s="12"/>
      <c r="S45" s="12"/>
      <c r="T45" s="18" t="e">
        <f t="shared" si="10"/>
        <v>#DIV/0!</v>
      </c>
      <c r="U45" s="11"/>
      <c r="V45" s="11"/>
      <c r="W45" s="18" t="e">
        <f t="shared" si="11"/>
        <v>#DIV/0!</v>
      </c>
    </row>
    <row r="46" spans="2:23" x14ac:dyDescent="0.3">
      <c r="B46" s="11">
        <v>41</v>
      </c>
      <c r="C46" s="11"/>
      <c r="D46" s="14"/>
      <c r="E46" s="11"/>
      <c r="F46" s="11"/>
      <c r="G46" s="11"/>
      <c r="H46" s="18">
        <f t="shared" si="6"/>
        <v>0</v>
      </c>
      <c r="I46" s="11"/>
      <c r="J46" s="11"/>
      <c r="K46" s="11"/>
      <c r="L46" s="30" t="e">
        <f t="shared" si="7"/>
        <v>#DIV/0!</v>
      </c>
      <c r="M46" s="11"/>
      <c r="N46" s="11"/>
      <c r="O46" s="18" t="e">
        <f t="shared" si="8"/>
        <v>#DIV/0!</v>
      </c>
      <c r="P46" s="11"/>
      <c r="Q46" s="18">
        <f t="shared" si="9"/>
        <v>0</v>
      </c>
      <c r="R46" s="12"/>
      <c r="S46" s="12"/>
      <c r="T46" s="18" t="e">
        <f t="shared" si="10"/>
        <v>#DIV/0!</v>
      </c>
      <c r="U46" s="11"/>
      <c r="V46" s="11"/>
      <c r="W46" s="18" t="e">
        <f t="shared" si="11"/>
        <v>#DIV/0!</v>
      </c>
    </row>
    <row r="47" spans="2:23" x14ac:dyDescent="0.3">
      <c r="B47" s="11">
        <v>42</v>
      </c>
      <c r="C47" s="11"/>
      <c r="D47" s="14"/>
      <c r="E47" s="11"/>
      <c r="F47" s="11"/>
      <c r="G47" s="11"/>
      <c r="H47" s="18">
        <f t="shared" si="6"/>
        <v>0</v>
      </c>
      <c r="I47" s="11"/>
      <c r="J47" s="11"/>
      <c r="K47" s="11"/>
      <c r="L47" s="30" t="e">
        <f t="shared" si="7"/>
        <v>#DIV/0!</v>
      </c>
      <c r="M47" s="11"/>
      <c r="N47" s="11"/>
      <c r="O47" s="18" t="e">
        <f t="shared" si="8"/>
        <v>#DIV/0!</v>
      </c>
      <c r="P47" s="11"/>
      <c r="Q47" s="18">
        <f t="shared" si="9"/>
        <v>0</v>
      </c>
      <c r="R47" s="12"/>
      <c r="S47" s="12"/>
      <c r="T47" s="18" t="e">
        <f t="shared" si="10"/>
        <v>#DIV/0!</v>
      </c>
      <c r="U47" s="11"/>
      <c r="V47" s="11"/>
      <c r="W47" s="18" t="e">
        <f t="shared" si="11"/>
        <v>#DIV/0!</v>
      </c>
    </row>
    <row r="48" spans="2:23" x14ac:dyDescent="0.3">
      <c r="B48" s="11">
        <v>43</v>
      </c>
      <c r="C48" s="11"/>
      <c r="D48" s="14"/>
      <c r="E48" s="11"/>
      <c r="F48" s="11"/>
      <c r="G48" s="11"/>
      <c r="H48" s="18">
        <f t="shared" si="6"/>
        <v>0</v>
      </c>
      <c r="I48" s="11"/>
      <c r="J48" s="11"/>
      <c r="K48" s="11"/>
      <c r="L48" s="30" t="e">
        <f t="shared" si="7"/>
        <v>#DIV/0!</v>
      </c>
      <c r="M48" s="11"/>
      <c r="N48" s="11"/>
      <c r="O48" s="18" t="e">
        <f t="shared" si="8"/>
        <v>#DIV/0!</v>
      </c>
      <c r="P48" s="11"/>
      <c r="Q48" s="18">
        <f t="shared" si="9"/>
        <v>0</v>
      </c>
      <c r="R48" s="12"/>
      <c r="S48" s="12"/>
      <c r="T48" s="18" t="e">
        <f t="shared" si="10"/>
        <v>#DIV/0!</v>
      </c>
      <c r="U48" s="11"/>
      <c r="V48" s="11"/>
      <c r="W48" s="18" t="e">
        <f t="shared" si="11"/>
        <v>#DIV/0!</v>
      </c>
    </row>
    <row r="49" spans="2:23" x14ac:dyDescent="0.3">
      <c r="B49" s="11">
        <v>44</v>
      </c>
      <c r="C49" s="11"/>
      <c r="D49" s="14"/>
      <c r="E49" s="11"/>
      <c r="F49" s="11"/>
      <c r="G49" s="11"/>
      <c r="H49" s="18">
        <f t="shared" si="6"/>
        <v>0</v>
      </c>
      <c r="I49" s="11"/>
      <c r="J49" s="11"/>
      <c r="K49" s="11"/>
      <c r="L49" s="30" t="e">
        <f t="shared" si="7"/>
        <v>#DIV/0!</v>
      </c>
      <c r="M49" s="11"/>
      <c r="N49" s="11"/>
      <c r="O49" s="18" t="e">
        <f t="shared" si="8"/>
        <v>#DIV/0!</v>
      </c>
      <c r="P49" s="11"/>
      <c r="Q49" s="18">
        <f t="shared" si="9"/>
        <v>0</v>
      </c>
      <c r="R49" s="12"/>
      <c r="S49" s="12"/>
      <c r="T49" s="18" t="e">
        <f t="shared" si="10"/>
        <v>#DIV/0!</v>
      </c>
      <c r="U49" s="11"/>
      <c r="V49" s="11"/>
      <c r="W49" s="18" t="e">
        <f t="shared" si="11"/>
        <v>#DIV/0!</v>
      </c>
    </row>
    <row r="50" spans="2:23" x14ac:dyDescent="0.3">
      <c r="B50" s="11">
        <v>45</v>
      </c>
      <c r="C50" s="11"/>
      <c r="D50" s="14"/>
      <c r="E50" s="11"/>
      <c r="F50" s="11"/>
      <c r="G50" s="11"/>
      <c r="H50" s="18">
        <f t="shared" si="6"/>
        <v>0</v>
      </c>
      <c r="I50" s="11"/>
      <c r="J50" s="11"/>
      <c r="K50" s="11"/>
      <c r="L50" s="30" t="e">
        <f t="shared" si="7"/>
        <v>#DIV/0!</v>
      </c>
      <c r="M50" s="11"/>
      <c r="N50" s="11"/>
      <c r="O50" s="18" t="e">
        <f t="shared" si="8"/>
        <v>#DIV/0!</v>
      </c>
      <c r="P50" s="11"/>
      <c r="Q50" s="18">
        <f t="shared" si="9"/>
        <v>0</v>
      </c>
      <c r="R50" s="12"/>
      <c r="S50" s="12"/>
      <c r="T50" s="18" t="e">
        <f t="shared" si="10"/>
        <v>#DIV/0!</v>
      </c>
      <c r="U50" s="11"/>
      <c r="V50" s="11"/>
      <c r="W50" s="18" t="e">
        <f t="shared" si="11"/>
        <v>#DIV/0!</v>
      </c>
    </row>
    <row r="51" spans="2:23" x14ac:dyDescent="0.3">
      <c r="B51" s="11">
        <v>46</v>
      </c>
      <c r="C51" s="11"/>
      <c r="D51" s="14"/>
      <c r="E51" s="11"/>
      <c r="F51" s="11"/>
      <c r="G51" s="11"/>
      <c r="H51" s="18">
        <f t="shared" si="6"/>
        <v>0</v>
      </c>
      <c r="I51" s="11"/>
      <c r="J51" s="11"/>
      <c r="K51" s="11"/>
      <c r="L51" s="30" t="e">
        <f t="shared" si="7"/>
        <v>#DIV/0!</v>
      </c>
      <c r="M51" s="11"/>
      <c r="N51" s="11"/>
      <c r="O51" s="18" t="e">
        <f t="shared" si="8"/>
        <v>#DIV/0!</v>
      </c>
      <c r="P51" s="11"/>
      <c r="Q51" s="18">
        <f t="shared" si="9"/>
        <v>0</v>
      </c>
      <c r="R51" s="12"/>
      <c r="S51" s="12"/>
      <c r="T51" s="18" t="e">
        <f t="shared" si="10"/>
        <v>#DIV/0!</v>
      </c>
      <c r="U51" s="11"/>
      <c r="V51" s="11"/>
      <c r="W51" s="18" t="e">
        <f t="shared" si="11"/>
        <v>#DIV/0!</v>
      </c>
    </row>
    <row r="52" spans="2:23" x14ac:dyDescent="0.3">
      <c r="B52" s="11">
        <v>47</v>
      </c>
      <c r="C52" s="11"/>
      <c r="D52" s="14"/>
      <c r="E52" s="11"/>
      <c r="F52" s="11"/>
      <c r="G52" s="11"/>
      <c r="H52" s="18">
        <f t="shared" si="6"/>
        <v>0</v>
      </c>
      <c r="I52" s="11"/>
      <c r="J52" s="11"/>
      <c r="K52" s="11"/>
      <c r="L52" s="30" t="e">
        <f t="shared" si="7"/>
        <v>#DIV/0!</v>
      </c>
      <c r="M52" s="11"/>
      <c r="N52" s="11"/>
      <c r="O52" s="18" t="e">
        <f t="shared" si="8"/>
        <v>#DIV/0!</v>
      </c>
      <c r="P52" s="11"/>
      <c r="Q52" s="18">
        <f t="shared" si="9"/>
        <v>0</v>
      </c>
      <c r="R52" s="12"/>
      <c r="S52" s="12"/>
      <c r="T52" s="18" t="e">
        <f t="shared" si="10"/>
        <v>#DIV/0!</v>
      </c>
      <c r="U52" s="11"/>
      <c r="V52" s="11"/>
      <c r="W52" s="18" t="e">
        <f t="shared" si="11"/>
        <v>#DIV/0!</v>
      </c>
    </row>
    <row r="53" spans="2:23" x14ac:dyDescent="0.3">
      <c r="B53" s="11">
        <v>48</v>
      </c>
      <c r="C53" s="11"/>
      <c r="D53" s="14"/>
      <c r="E53" s="11"/>
      <c r="F53" s="11"/>
      <c r="G53" s="11"/>
      <c r="H53" s="18">
        <f t="shared" si="6"/>
        <v>0</v>
      </c>
      <c r="I53" s="11"/>
      <c r="J53" s="11"/>
      <c r="K53" s="11"/>
      <c r="L53" s="30" t="e">
        <f t="shared" si="7"/>
        <v>#DIV/0!</v>
      </c>
      <c r="M53" s="11"/>
      <c r="N53" s="11"/>
      <c r="O53" s="18" t="e">
        <f t="shared" si="8"/>
        <v>#DIV/0!</v>
      </c>
      <c r="P53" s="11"/>
      <c r="Q53" s="18">
        <f t="shared" si="9"/>
        <v>0</v>
      </c>
      <c r="R53" s="12"/>
      <c r="S53" s="12"/>
      <c r="T53" s="18" t="e">
        <f t="shared" si="10"/>
        <v>#DIV/0!</v>
      </c>
      <c r="U53" s="11"/>
      <c r="V53" s="11"/>
      <c r="W53" s="18" t="e">
        <f t="shared" si="11"/>
        <v>#DIV/0!</v>
      </c>
    </row>
    <row r="54" spans="2:23" x14ac:dyDescent="0.3">
      <c r="B54" s="11">
        <v>49</v>
      </c>
      <c r="C54" s="11"/>
      <c r="D54" s="14"/>
      <c r="E54" s="11"/>
      <c r="F54" s="11"/>
      <c r="G54" s="11"/>
      <c r="H54" s="18">
        <f t="shared" si="6"/>
        <v>0</v>
      </c>
      <c r="I54" s="11"/>
      <c r="J54" s="11"/>
      <c r="K54" s="11"/>
      <c r="L54" s="30" t="e">
        <f t="shared" si="7"/>
        <v>#DIV/0!</v>
      </c>
      <c r="M54" s="11"/>
      <c r="N54" s="11"/>
      <c r="O54" s="18" t="e">
        <f t="shared" si="8"/>
        <v>#DIV/0!</v>
      </c>
      <c r="P54" s="11"/>
      <c r="Q54" s="18">
        <f t="shared" si="9"/>
        <v>0</v>
      </c>
      <c r="R54" s="12"/>
      <c r="S54" s="12"/>
      <c r="T54" s="18" t="e">
        <f t="shared" si="10"/>
        <v>#DIV/0!</v>
      </c>
      <c r="U54" s="11"/>
      <c r="V54" s="11"/>
      <c r="W54" s="18" t="e">
        <f t="shared" si="11"/>
        <v>#DIV/0!</v>
      </c>
    </row>
    <row r="55" spans="2:23" x14ac:dyDescent="0.3">
      <c r="B55" s="11">
        <v>50</v>
      </c>
      <c r="C55" s="11"/>
      <c r="D55" s="14"/>
      <c r="E55" s="11"/>
      <c r="F55" s="11"/>
      <c r="G55" s="11"/>
      <c r="H55" s="18">
        <f t="shared" si="6"/>
        <v>0</v>
      </c>
      <c r="I55" s="11"/>
      <c r="J55" s="11"/>
      <c r="K55" s="11"/>
      <c r="L55" s="30" t="e">
        <f t="shared" si="7"/>
        <v>#DIV/0!</v>
      </c>
      <c r="M55" s="11"/>
      <c r="N55" s="11"/>
      <c r="O55" s="18" t="e">
        <f t="shared" si="8"/>
        <v>#DIV/0!</v>
      </c>
      <c r="P55" s="11"/>
      <c r="Q55" s="18">
        <f t="shared" si="9"/>
        <v>0</v>
      </c>
      <c r="R55" s="12"/>
      <c r="S55" s="12"/>
      <c r="T55" s="18" t="e">
        <f t="shared" si="10"/>
        <v>#DIV/0!</v>
      </c>
      <c r="U55" s="11"/>
      <c r="V55" s="11"/>
      <c r="W55" s="18" t="e">
        <f t="shared" si="11"/>
        <v>#DIV/0!</v>
      </c>
    </row>
    <row r="56" spans="2:23" x14ac:dyDescent="0.3">
      <c r="B56" s="11">
        <v>51</v>
      </c>
      <c r="C56" s="11"/>
      <c r="D56" s="14"/>
      <c r="E56" s="11"/>
      <c r="F56" s="11"/>
      <c r="G56" s="11"/>
      <c r="H56" s="18">
        <f t="shared" si="6"/>
        <v>0</v>
      </c>
      <c r="I56" s="11"/>
      <c r="J56" s="11"/>
      <c r="K56" s="11"/>
      <c r="L56" s="30" t="e">
        <f t="shared" si="7"/>
        <v>#DIV/0!</v>
      </c>
      <c r="M56" s="11"/>
      <c r="N56" s="11"/>
      <c r="O56" s="18" t="e">
        <f t="shared" si="8"/>
        <v>#DIV/0!</v>
      </c>
      <c r="P56" s="11"/>
      <c r="Q56" s="18">
        <f t="shared" si="9"/>
        <v>0</v>
      </c>
      <c r="R56" s="12"/>
      <c r="S56" s="12"/>
      <c r="T56" s="18" t="e">
        <f t="shared" si="10"/>
        <v>#DIV/0!</v>
      </c>
      <c r="U56" s="11"/>
      <c r="V56" s="11"/>
      <c r="W56" s="18" t="e">
        <f t="shared" si="11"/>
        <v>#DIV/0!</v>
      </c>
    </row>
    <row r="57" spans="2:23" x14ac:dyDescent="0.3">
      <c r="B57" s="11">
        <v>52</v>
      </c>
      <c r="C57" s="11"/>
      <c r="D57" s="14"/>
      <c r="E57" s="11"/>
      <c r="F57" s="11"/>
      <c r="G57" s="11"/>
      <c r="H57" s="18">
        <f t="shared" si="6"/>
        <v>0</v>
      </c>
      <c r="I57" s="11"/>
      <c r="J57" s="11"/>
      <c r="K57" s="11"/>
      <c r="L57" s="30" t="e">
        <f t="shared" si="7"/>
        <v>#DIV/0!</v>
      </c>
      <c r="M57" s="11"/>
      <c r="N57" s="11"/>
      <c r="O57" s="18" t="e">
        <f t="shared" si="8"/>
        <v>#DIV/0!</v>
      </c>
      <c r="P57" s="11"/>
      <c r="Q57" s="18">
        <f t="shared" si="9"/>
        <v>0</v>
      </c>
      <c r="R57" s="12"/>
      <c r="S57" s="12"/>
      <c r="T57" s="18" t="e">
        <f t="shared" si="10"/>
        <v>#DIV/0!</v>
      </c>
      <c r="U57" s="11"/>
      <c r="V57" s="11"/>
      <c r="W57" s="18" t="e">
        <f t="shared" si="11"/>
        <v>#DIV/0!</v>
      </c>
    </row>
    <row r="58" spans="2:23" x14ac:dyDescent="0.3">
      <c r="B58" s="11">
        <v>53</v>
      </c>
      <c r="C58" s="11"/>
      <c r="D58" s="14"/>
      <c r="E58" s="11"/>
      <c r="F58" s="11"/>
      <c r="G58" s="11"/>
      <c r="H58" s="18">
        <f t="shared" si="6"/>
        <v>0</v>
      </c>
      <c r="I58" s="11"/>
      <c r="J58" s="11"/>
      <c r="K58" s="11"/>
      <c r="L58" s="30" t="e">
        <f t="shared" si="7"/>
        <v>#DIV/0!</v>
      </c>
      <c r="M58" s="11"/>
      <c r="N58" s="11"/>
      <c r="O58" s="18" t="e">
        <f t="shared" si="8"/>
        <v>#DIV/0!</v>
      </c>
      <c r="P58" s="11"/>
      <c r="Q58" s="18">
        <f t="shared" si="9"/>
        <v>0</v>
      </c>
      <c r="R58" s="12"/>
      <c r="S58" s="12"/>
      <c r="T58" s="18" t="e">
        <f t="shared" si="10"/>
        <v>#DIV/0!</v>
      </c>
      <c r="U58" s="11"/>
      <c r="V58" s="11"/>
      <c r="W58" s="18" t="e">
        <f t="shared" si="11"/>
        <v>#DIV/0!</v>
      </c>
    </row>
    <row r="59" spans="2:23" x14ac:dyDescent="0.3">
      <c r="B59" s="11">
        <v>54</v>
      </c>
      <c r="C59" s="11"/>
      <c r="D59" s="14"/>
      <c r="E59" s="11"/>
      <c r="F59" s="11"/>
      <c r="G59" s="11"/>
      <c r="H59" s="18">
        <f t="shared" si="6"/>
        <v>0</v>
      </c>
      <c r="I59" s="11"/>
      <c r="J59" s="11"/>
      <c r="K59" s="11"/>
      <c r="L59" s="30" t="e">
        <f t="shared" si="7"/>
        <v>#DIV/0!</v>
      </c>
      <c r="M59" s="11"/>
      <c r="N59" s="11"/>
      <c r="O59" s="18" t="e">
        <f t="shared" si="8"/>
        <v>#DIV/0!</v>
      </c>
      <c r="P59" s="11"/>
      <c r="Q59" s="18">
        <f t="shared" si="9"/>
        <v>0</v>
      </c>
      <c r="R59" s="12"/>
      <c r="S59" s="12"/>
      <c r="T59" s="18" t="e">
        <f t="shared" si="10"/>
        <v>#DIV/0!</v>
      </c>
      <c r="U59" s="11"/>
      <c r="V59" s="11"/>
      <c r="W59" s="18" t="e">
        <f t="shared" si="11"/>
        <v>#DIV/0!</v>
      </c>
    </row>
    <row r="60" spans="2:23" x14ac:dyDescent="0.3">
      <c r="B60" s="11">
        <v>55</v>
      </c>
      <c r="C60" s="11"/>
      <c r="D60" s="14"/>
      <c r="E60" s="11"/>
      <c r="F60" s="11"/>
      <c r="G60" s="11"/>
      <c r="H60" s="18">
        <f t="shared" si="6"/>
        <v>0</v>
      </c>
      <c r="I60" s="11"/>
      <c r="J60" s="11"/>
      <c r="K60" s="11"/>
      <c r="L60" s="30" t="e">
        <f t="shared" si="7"/>
        <v>#DIV/0!</v>
      </c>
      <c r="M60" s="11"/>
      <c r="N60" s="11"/>
      <c r="O60" s="18" t="e">
        <f t="shared" si="8"/>
        <v>#DIV/0!</v>
      </c>
      <c r="P60" s="11"/>
      <c r="Q60" s="18">
        <f t="shared" si="9"/>
        <v>0</v>
      </c>
      <c r="R60" s="12"/>
      <c r="S60" s="12"/>
      <c r="T60" s="18" t="e">
        <f t="shared" si="10"/>
        <v>#DIV/0!</v>
      </c>
      <c r="U60" s="11"/>
      <c r="V60" s="11"/>
      <c r="W60" s="18" t="e">
        <f t="shared" si="11"/>
        <v>#DIV/0!</v>
      </c>
    </row>
    <row r="61" spans="2:23" x14ac:dyDescent="0.3">
      <c r="B61" s="11">
        <v>56</v>
      </c>
      <c r="C61" s="11"/>
      <c r="D61" s="14"/>
      <c r="E61" s="11"/>
      <c r="F61" s="11"/>
      <c r="G61" s="11"/>
      <c r="H61" s="18">
        <f t="shared" si="6"/>
        <v>0</v>
      </c>
      <c r="I61" s="11"/>
      <c r="J61" s="11"/>
      <c r="K61" s="11"/>
      <c r="L61" s="30" t="e">
        <f t="shared" si="7"/>
        <v>#DIV/0!</v>
      </c>
      <c r="M61" s="11"/>
      <c r="N61" s="11"/>
      <c r="O61" s="18" t="e">
        <f t="shared" si="8"/>
        <v>#DIV/0!</v>
      </c>
      <c r="P61" s="11"/>
      <c r="Q61" s="18">
        <f t="shared" si="9"/>
        <v>0</v>
      </c>
      <c r="R61" s="12"/>
      <c r="S61" s="12"/>
      <c r="T61" s="18" t="e">
        <f t="shared" si="10"/>
        <v>#DIV/0!</v>
      </c>
      <c r="U61" s="11"/>
      <c r="V61" s="11"/>
      <c r="W61" s="18" t="e">
        <f t="shared" si="11"/>
        <v>#DIV/0!</v>
      </c>
    </row>
    <row r="62" spans="2:23" x14ac:dyDescent="0.3">
      <c r="B62" s="11">
        <v>57</v>
      </c>
      <c r="C62" s="11"/>
      <c r="D62" s="14"/>
      <c r="E62" s="11"/>
      <c r="F62" s="11"/>
      <c r="G62" s="11"/>
      <c r="H62" s="18">
        <f t="shared" si="6"/>
        <v>0</v>
      </c>
      <c r="I62" s="11"/>
      <c r="J62" s="11"/>
      <c r="K62" s="11"/>
      <c r="L62" s="30" t="e">
        <f t="shared" si="7"/>
        <v>#DIV/0!</v>
      </c>
      <c r="M62" s="11"/>
      <c r="N62" s="11"/>
      <c r="O62" s="18" t="e">
        <f t="shared" si="8"/>
        <v>#DIV/0!</v>
      </c>
      <c r="P62" s="11"/>
      <c r="Q62" s="18">
        <f t="shared" si="9"/>
        <v>0</v>
      </c>
      <c r="R62" s="12"/>
      <c r="S62" s="12"/>
      <c r="T62" s="18" t="e">
        <f t="shared" si="10"/>
        <v>#DIV/0!</v>
      </c>
      <c r="U62" s="11"/>
      <c r="V62" s="11"/>
      <c r="W62" s="18" t="e">
        <f t="shared" si="11"/>
        <v>#DIV/0!</v>
      </c>
    </row>
    <row r="63" spans="2:23" x14ac:dyDescent="0.3">
      <c r="B63" s="11">
        <v>58</v>
      </c>
      <c r="C63" s="11"/>
      <c r="D63" s="14"/>
      <c r="E63" s="11"/>
      <c r="F63" s="11"/>
      <c r="G63" s="11"/>
      <c r="H63" s="18">
        <f t="shared" si="6"/>
        <v>0</v>
      </c>
      <c r="I63" s="11"/>
      <c r="J63" s="11"/>
      <c r="K63" s="11"/>
      <c r="L63" s="30" t="e">
        <f t="shared" si="7"/>
        <v>#DIV/0!</v>
      </c>
      <c r="M63" s="11"/>
      <c r="N63" s="11"/>
      <c r="O63" s="18" t="e">
        <f t="shared" si="8"/>
        <v>#DIV/0!</v>
      </c>
      <c r="P63" s="11"/>
      <c r="Q63" s="18">
        <f t="shared" si="9"/>
        <v>0</v>
      </c>
      <c r="R63" s="12"/>
      <c r="S63" s="12"/>
      <c r="T63" s="18" t="e">
        <f t="shared" si="10"/>
        <v>#DIV/0!</v>
      </c>
      <c r="U63" s="11"/>
      <c r="V63" s="11"/>
      <c r="W63" s="18" t="e">
        <f t="shared" si="11"/>
        <v>#DIV/0!</v>
      </c>
    </row>
    <row r="64" spans="2:23" x14ac:dyDescent="0.3">
      <c r="B64" s="11">
        <v>59</v>
      </c>
      <c r="C64" s="11"/>
      <c r="D64" s="14"/>
      <c r="E64" s="11"/>
      <c r="F64" s="11"/>
      <c r="G64" s="11"/>
      <c r="H64" s="18">
        <f t="shared" si="6"/>
        <v>0</v>
      </c>
      <c r="I64" s="11"/>
      <c r="J64" s="11"/>
      <c r="K64" s="11"/>
      <c r="L64" s="30" t="e">
        <f t="shared" si="7"/>
        <v>#DIV/0!</v>
      </c>
      <c r="M64" s="11"/>
      <c r="N64" s="11"/>
      <c r="O64" s="18" t="e">
        <f t="shared" si="8"/>
        <v>#DIV/0!</v>
      </c>
      <c r="P64" s="11"/>
      <c r="Q64" s="18">
        <f t="shared" si="9"/>
        <v>0</v>
      </c>
      <c r="R64" s="12"/>
      <c r="S64" s="12"/>
      <c r="T64" s="18" t="e">
        <f t="shared" si="10"/>
        <v>#DIV/0!</v>
      </c>
      <c r="U64" s="11"/>
      <c r="V64" s="11"/>
      <c r="W64" s="18" t="e">
        <f t="shared" si="11"/>
        <v>#DIV/0!</v>
      </c>
    </row>
    <row r="65" spans="2:23" x14ac:dyDescent="0.3">
      <c r="B65" s="11">
        <v>60</v>
      </c>
      <c r="C65" s="11"/>
      <c r="D65" s="14"/>
      <c r="E65" s="11"/>
      <c r="F65" s="11"/>
      <c r="G65" s="11"/>
      <c r="H65" s="18">
        <f t="shared" si="6"/>
        <v>0</v>
      </c>
      <c r="I65" s="11"/>
      <c r="J65" s="11"/>
      <c r="K65" s="11"/>
      <c r="L65" s="30" t="e">
        <f t="shared" si="7"/>
        <v>#DIV/0!</v>
      </c>
      <c r="M65" s="11"/>
      <c r="N65" s="11"/>
      <c r="O65" s="18" t="e">
        <f t="shared" si="8"/>
        <v>#DIV/0!</v>
      </c>
      <c r="P65" s="11"/>
      <c r="Q65" s="18">
        <f t="shared" si="9"/>
        <v>0</v>
      </c>
      <c r="R65" s="12"/>
      <c r="S65" s="12"/>
      <c r="T65" s="18" t="e">
        <f t="shared" si="10"/>
        <v>#DIV/0!</v>
      </c>
      <c r="U65" s="11"/>
      <c r="V65" s="11"/>
      <c r="W65" s="18" t="e">
        <f t="shared" si="11"/>
        <v>#DIV/0!</v>
      </c>
    </row>
    <row r="66" spans="2:23" x14ac:dyDescent="0.3">
      <c r="B66" s="11">
        <v>61</v>
      </c>
      <c r="C66" s="11"/>
      <c r="D66" s="14"/>
      <c r="E66" s="11"/>
      <c r="F66" s="11"/>
      <c r="G66" s="11"/>
      <c r="H66" s="18">
        <f t="shared" si="6"/>
        <v>0</v>
      </c>
      <c r="I66" s="11"/>
      <c r="J66" s="11"/>
      <c r="K66" s="11"/>
      <c r="L66" s="30" t="e">
        <f t="shared" si="7"/>
        <v>#DIV/0!</v>
      </c>
      <c r="M66" s="11"/>
      <c r="N66" s="11"/>
      <c r="O66" s="18" t="e">
        <f t="shared" si="8"/>
        <v>#DIV/0!</v>
      </c>
      <c r="P66" s="11"/>
      <c r="Q66" s="18">
        <f t="shared" si="9"/>
        <v>0</v>
      </c>
      <c r="R66" s="12"/>
      <c r="S66" s="12"/>
      <c r="T66" s="18" t="e">
        <f t="shared" si="10"/>
        <v>#DIV/0!</v>
      </c>
      <c r="U66" s="11"/>
      <c r="V66" s="11"/>
      <c r="W66" s="18" t="e">
        <f t="shared" si="11"/>
        <v>#DIV/0!</v>
      </c>
    </row>
    <row r="67" spans="2:23" x14ac:dyDescent="0.3">
      <c r="B67" s="11">
        <v>62</v>
      </c>
      <c r="C67" s="11"/>
      <c r="D67" s="14"/>
      <c r="E67" s="11"/>
      <c r="F67" s="11"/>
      <c r="G67" s="11"/>
      <c r="H67" s="18">
        <f t="shared" si="6"/>
        <v>0</v>
      </c>
      <c r="I67" s="11"/>
      <c r="J67" s="11"/>
      <c r="K67" s="11"/>
      <c r="L67" s="30" t="e">
        <f t="shared" si="7"/>
        <v>#DIV/0!</v>
      </c>
      <c r="M67" s="11"/>
      <c r="N67" s="11"/>
      <c r="O67" s="18" t="e">
        <f t="shared" si="8"/>
        <v>#DIV/0!</v>
      </c>
      <c r="P67" s="11"/>
      <c r="Q67" s="18">
        <f t="shared" si="9"/>
        <v>0</v>
      </c>
      <c r="R67" s="12"/>
      <c r="S67" s="12"/>
      <c r="T67" s="18" t="e">
        <f t="shared" si="10"/>
        <v>#DIV/0!</v>
      </c>
      <c r="U67" s="11"/>
      <c r="V67" s="11"/>
      <c r="W67" s="18" t="e">
        <f t="shared" si="11"/>
        <v>#DIV/0!</v>
      </c>
    </row>
    <row r="68" spans="2:23" x14ac:dyDescent="0.3">
      <c r="B68" s="11">
        <v>63</v>
      </c>
      <c r="C68" s="11"/>
      <c r="D68" s="14"/>
      <c r="E68" s="11"/>
      <c r="F68" s="11"/>
      <c r="G68" s="11"/>
      <c r="H68" s="18">
        <f t="shared" si="6"/>
        <v>0</v>
      </c>
      <c r="I68" s="11"/>
      <c r="J68" s="11"/>
      <c r="K68" s="11"/>
      <c r="L68" s="30" t="e">
        <f t="shared" si="7"/>
        <v>#DIV/0!</v>
      </c>
      <c r="M68" s="11"/>
      <c r="N68" s="11"/>
      <c r="O68" s="18" t="e">
        <f t="shared" si="8"/>
        <v>#DIV/0!</v>
      </c>
      <c r="P68" s="11"/>
      <c r="Q68" s="18">
        <f t="shared" si="9"/>
        <v>0</v>
      </c>
      <c r="R68" s="12"/>
      <c r="S68" s="12"/>
      <c r="T68" s="18" t="e">
        <f t="shared" si="10"/>
        <v>#DIV/0!</v>
      </c>
      <c r="U68" s="11"/>
      <c r="V68" s="11"/>
      <c r="W68" s="18" t="e">
        <f t="shared" si="11"/>
        <v>#DIV/0!</v>
      </c>
    </row>
    <row r="69" spans="2:23" x14ac:dyDescent="0.3">
      <c r="B69" s="11">
        <v>64</v>
      </c>
      <c r="C69" s="11"/>
      <c r="D69" s="14"/>
      <c r="E69" s="11"/>
      <c r="F69" s="11"/>
      <c r="G69" s="11"/>
      <c r="H69" s="18">
        <f t="shared" si="6"/>
        <v>0</v>
      </c>
      <c r="I69" s="11"/>
      <c r="J69" s="11"/>
      <c r="K69" s="11"/>
      <c r="L69" s="30" t="e">
        <f t="shared" si="7"/>
        <v>#DIV/0!</v>
      </c>
      <c r="M69" s="11"/>
      <c r="N69" s="11"/>
      <c r="O69" s="18" t="e">
        <f t="shared" si="8"/>
        <v>#DIV/0!</v>
      </c>
      <c r="P69" s="11"/>
      <c r="Q69" s="18">
        <f t="shared" si="9"/>
        <v>0</v>
      </c>
      <c r="R69" s="12"/>
      <c r="S69" s="12"/>
      <c r="T69" s="18" t="e">
        <f t="shared" si="10"/>
        <v>#DIV/0!</v>
      </c>
      <c r="U69" s="11"/>
      <c r="V69" s="11"/>
      <c r="W69" s="18" t="e">
        <f t="shared" si="11"/>
        <v>#DIV/0!</v>
      </c>
    </row>
    <row r="70" spans="2:23" x14ac:dyDescent="0.3">
      <c r="B70" s="11">
        <v>65</v>
      </c>
      <c r="C70" s="11"/>
      <c r="D70" s="14"/>
      <c r="E70" s="11"/>
      <c r="F70" s="11"/>
      <c r="G70" s="11"/>
      <c r="H70" s="18">
        <f t="shared" si="6"/>
        <v>0</v>
      </c>
      <c r="I70" s="11"/>
      <c r="J70" s="11"/>
      <c r="K70" s="11"/>
      <c r="L70" s="30" t="e">
        <f t="shared" si="7"/>
        <v>#DIV/0!</v>
      </c>
      <c r="M70" s="11"/>
      <c r="N70" s="11"/>
      <c r="O70" s="18" t="e">
        <f t="shared" si="8"/>
        <v>#DIV/0!</v>
      </c>
      <c r="P70" s="11"/>
      <c r="Q70" s="18">
        <f t="shared" si="9"/>
        <v>0</v>
      </c>
      <c r="R70" s="12"/>
      <c r="S70" s="12"/>
      <c r="T70" s="18" t="e">
        <f t="shared" si="10"/>
        <v>#DIV/0!</v>
      </c>
      <c r="U70" s="11"/>
      <c r="V70" s="11"/>
      <c r="W70" s="18" t="e">
        <f t="shared" si="11"/>
        <v>#DIV/0!</v>
      </c>
    </row>
    <row r="71" spans="2:23" x14ac:dyDescent="0.3">
      <c r="B71" s="11">
        <v>66</v>
      </c>
      <c r="C71" s="11"/>
      <c r="D71" s="14"/>
      <c r="E71" s="11"/>
      <c r="F71" s="11"/>
      <c r="G71" s="11"/>
      <c r="H71" s="18">
        <f t="shared" si="6"/>
        <v>0</v>
      </c>
      <c r="I71" s="11"/>
      <c r="J71" s="11"/>
      <c r="K71" s="11"/>
      <c r="L71" s="30" t="e">
        <f t="shared" si="7"/>
        <v>#DIV/0!</v>
      </c>
      <c r="M71" s="11"/>
      <c r="N71" s="11"/>
      <c r="O71" s="18" t="e">
        <f t="shared" si="8"/>
        <v>#DIV/0!</v>
      </c>
      <c r="P71" s="11"/>
      <c r="Q71" s="18">
        <f t="shared" si="9"/>
        <v>0</v>
      </c>
      <c r="R71" s="12"/>
      <c r="S71" s="12"/>
      <c r="T71" s="18" t="e">
        <f t="shared" si="10"/>
        <v>#DIV/0!</v>
      </c>
      <c r="U71" s="11"/>
      <c r="V71" s="11"/>
      <c r="W71" s="18" t="e">
        <f t="shared" si="11"/>
        <v>#DIV/0!</v>
      </c>
    </row>
    <row r="72" spans="2:23" x14ac:dyDescent="0.3">
      <c r="B72" s="11">
        <v>67</v>
      </c>
      <c r="C72" s="11"/>
      <c r="D72" s="14"/>
      <c r="E72" s="11"/>
      <c r="F72" s="11"/>
      <c r="G72" s="11"/>
      <c r="H72" s="18">
        <f t="shared" si="6"/>
        <v>0</v>
      </c>
      <c r="I72" s="11"/>
      <c r="J72" s="11"/>
      <c r="K72" s="11"/>
      <c r="L72" s="30" t="e">
        <f t="shared" si="7"/>
        <v>#DIV/0!</v>
      </c>
      <c r="M72" s="11"/>
      <c r="N72" s="11"/>
      <c r="O72" s="18" t="e">
        <f t="shared" si="8"/>
        <v>#DIV/0!</v>
      </c>
      <c r="P72" s="11"/>
      <c r="Q72" s="18">
        <f t="shared" si="9"/>
        <v>0</v>
      </c>
      <c r="R72" s="12"/>
      <c r="S72" s="12"/>
      <c r="T72" s="18" t="e">
        <f t="shared" si="10"/>
        <v>#DIV/0!</v>
      </c>
      <c r="U72" s="11"/>
      <c r="V72" s="11"/>
      <c r="W72" s="18" t="e">
        <f t="shared" si="11"/>
        <v>#DIV/0!</v>
      </c>
    </row>
    <row r="73" spans="2:23" x14ac:dyDescent="0.3">
      <c r="B73" s="11">
        <v>68</v>
      </c>
      <c r="C73" s="11"/>
      <c r="D73" s="14"/>
      <c r="E73" s="11"/>
      <c r="F73" s="11"/>
      <c r="G73" s="11"/>
      <c r="H73" s="18">
        <f t="shared" si="6"/>
        <v>0</v>
      </c>
      <c r="I73" s="11"/>
      <c r="J73" s="11"/>
      <c r="K73" s="11"/>
      <c r="L73" s="30" t="e">
        <f t="shared" si="7"/>
        <v>#DIV/0!</v>
      </c>
      <c r="M73" s="11"/>
      <c r="N73" s="11"/>
      <c r="O73" s="18" t="e">
        <f t="shared" si="8"/>
        <v>#DIV/0!</v>
      </c>
      <c r="P73" s="11"/>
      <c r="Q73" s="18">
        <f t="shared" si="9"/>
        <v>0</v>
      </c>
      <c r="R73" s="12"/>
      <c r="S73" s="12"/>
      <c r="T73" s="18" t="e">
        <f t="shared" si="10"/>
        <v>#DIV/0!</v>
      </c>
      <c r="U73" s="11"/>
      <c r="V73" s="11"/>
      <c r="W73" s="18" t="e">
        <f t="shared" si="11"/>
        <v>#DIV/0!</v>
      </c>
    </row>
    <row r="74" spans="2:23" x14ac:dyDescent="0.3">
      <c r="B74" s="11">
        <v>69</v>
      </c>
      <c r="C74" s="11"/>
      <c r="D74" s="14"/>
      <c r="E74" s="11"/>
      <c r="F74" s="11"/>
      <c r="G74" s="11"/>
      <c r="H74" s="18">
        <f t="shared" si="6"/>
        <v>0</v>
      </c>
      <c r="I74" s="11"/>
      <c r="J74" s="11"/>
      <c r="K74" s="11"/>
      <c r="L74" s="30" t="e">
        <f t="shared" si="7"/>
        <v>#DIV/0!</v>
      </c>
      <c r="M74" s="11"/>
      <c r="N74" s="11"/>
      <c r="O74" s="18" t="e">
        <f t="shared" si="8"/>
        <v>#DIV/0!</v>
      </c>
      <c r="P74" s="11"/>
      <c r="Q74" s="18">
        <f t="shared" si="9"/>
        <v>0</v>
      </c>
      <c r="R74" s="12"/>
      <c r="S74" s="12"/>
      <c r="T74" s="18" t="e">
        <f t="shared" si="10"/>
        <v>#DIV/0!</v>
      </c>
      <c r="U74" s="11"/>
      <c r="V74" s="11"/>
      <c r="W74" s="18" t="e">
        <f t="shared" si="11"/>
        <v>#DIV/0!</v>
      </c>
    </row>
    <row r="75" spans="2:23" x14ac:dyDescent="0.3">
      <c r="B75" s="11">
        <v>70</v>
      </c>
      <c r="C75" s="11"/>
      <c r="D75" s="14"/>
      <c r="E75" s="11"/>
      <c r="F75" s="11"/>
      <c r="G75" s="11"/>
      <c r="H75" s="18">
        <f t="shared" si="6"/>
        <v>0</v>
      </c>
      <c r="I75" s="11"/>
      <c r="J75" s="11"/>
      <c r="K75" s="11"/>
      <c r="L75" s="30" t="e">
        <f t="shared" si="7"/>
        <v>#DIV/0!</v>
      </c>
      <c r="M75" s="11"/>
      <c r="N75" s="11"/>
      <c r="O75" s="18" t="e">
        <f t="shared" si="8"/>
        <v>#DIV/0!</v>
      </c>
      <c r="P75" s="11"/>
      <c r="Q75" s="18">
        <f t="shared" si="9"/>
        <v>0</v>
      </c>
      <c r="R75" s="12"/>
      <c r="S75" s="12"/>
      <c r="T75" s="18" t="e">
        <f t="shared" si="10"/>
        <v>#DIV/0!</v>
      </c>
      <c r="U75" s="11"/>
      <c r="V75" s="11"/>
      <c r="W75" s="18" t="e">
        <f t="shared" si="11"/>
        <v>#DIV/0!</v>
      </c>
    </row>
    <row r="76" spans="2:23" x14ac:dyDescent="0.3">
      <c r="B76" s="11">
        <v>71</v>
      </c>
      <c r="C76" s="11"/>
      <c r="D76" s="14"/>
      <c r="E76" s="11"/>
      <c r="F76" s="11"/>
      <c r="G76" s="11"/>
      <c r="H76" s="18">
        <f t="shared" si="6"/>
        <v>0</v>
      </c>
      <c r="I76" s="11"/>
      <c r="J76" s="11"/>
      <c r="K76" s="11"/>
      <c r="L76" s="30" t="e">
        <f t="shared" si="7"/>
        <v>#DIV/0!</v>
      </c>
      <c r="M76" s="11"/>
      <c r="N76" s="11"/>
      <c r="O76" s="18" t="e">
        <f t="shared" si="8"/>
        <v>#DIV/0!</v>
      </c>
      <c r="P76" s="11"/>
      <c r="Q76" s="18">
        <f t="shared" si="9"/>
        <v>0</v>
      </c>
      <c r="R76" s="12"/>
      <c r="S76" s="12"/>
      <c r="T76" s="18" t="e">
        <f t="shared" si="10"/>
        <v>#DIV/0!</v>
      </c>
      <c r="U76" s="11"/>
      <c r="V76" s="11"/>
      <c r="W76" s="18" t="e">
        <f t="shared" si="11"/>
        <v>#DIV/0!</v>
      </c>
    </row>
    <row r="77" spans="2:23" x14ac:dyDescent="0.3">
      <c r="B77" s="11">
        <v>72</v>
      </c>
      <c r="C77" s="11"/>
      <c r="D77" s="14"/>
      <c r="E77" s="11"/>
      <c r="F77" s="11"/>
      <c r="G77" s="11"/>
      <c r="H77" s="18">
        <f t="shared" si="6"/>
        <v>0</v>
      </c>
      <c r="I77" s="11"/>
      <c r="J77" s="11"/>
      <c r="K77" s="11"/>
      <c r="L77" s="30" t="e">
        <f t="shared" si="7"/>
        <v>#DIV/0!</v>
      </c>
      <c r="M77" s="11"/>
      <c r="N77" s="11"/>
      <c r="O77" s="18" t="e">
        <f t="shared" si="8"/>
        <v>#DIV/0!</v>
      </c>
      <c r="P77" s="11"/>
      <c r="Q77" s="18">
        <f t="shared" si="9"/>
        <v>0</v>
      </c>
      <c r="R77" s="12"/>
      <c r="S77" s="12"/>
      <c r="T77" s="18" t="e">
        <f t="shared" si="10"/>
        <v>#DIV/0!</v>
      </c>
      <c r="U77" s="11"/>
      <c r="V77" s="11"/>
      <c r="W77" s="18" t="e">
        <f t="shared" si="11"/>
        <v>#DIV/0!</v>
      </c>
    </row>
    <row r="78" spans="2:23" x14ac:dyDescent="0.3">
      <c r="B78" s="11">
        <v>73</v>
      </c>
      <c r="C78" s="11"/>
      <c r="D78" s="14"/>
      <c r="E78" s="11"/>
      <c r="F78" s="11"/>
      <c r="G78" s="11"/>
      <c r="H78" s="18">
        <f t="shared" si="6"/>
        <v>0</v>
      </c>
      <c r="I78" s="11"/>
      <c r="J78" s="11"/>
      <c r="K78" s="11"/>
      <c r="L78" s="30" t="e">
        <f t="shared" si="7"/>
        <v>#DIV/0!</v>
      </c>
      <c r="M78" s="11"/>
      <c r="N78" s="11"/>
      <c r="O78" s="18" t="e">
        <f t="shared" si="8"/>
        <v>#DIV/0!</v>
      </c>
      <c r="P78" s="11"/>
      <c r="Q78" s="18">
        <f t="shared" si="9"/>
        <v>0</v>
      </c>
      <c r="R78" s="12"/>
      <c r="S78" s="12"/>
      <c r="T78" s="18" t="e">
        <f t="shared" si="10"/>
        <v>#DIV/0!</v>
      </c>
      <c r="U78" s="11"/>
      <c r="V78" s="11"/>
      <c r="W78" s="18" t="e">
        <f t="shared" si="11"/>
        <v>#DIV/0!</v>
      </c>
    </row>
    <row r="79" spans="2:23" x14ac:dyDescent="0.3">
      <c r="B79" s="11">
        <v>74</v>
      </c>
      <c r="C79" s="11"/>
      <c r="D79" s="14"/>
      <c r="E79" s="11"/>
      <c r="F79" s="11"/>
      <c r="G79" s="11"/>
      <c r="H79" s="18">
        <f t="shared" si="6"/>
        <v>0</v>
      </c>
      <c r="I79" s="11"/>
      <c r="J79" s="11"/>
      <c r="K79" s="11"/>
      <c r="L79" s="30" t="e">
        <f t="shared" si="7"/>
        <v>#DIV/0!</v>
      </c>
      <c r="M79" s="11"/>
      <c r="N79" s="11"/>
      <c r="O79" s="18" t="e">
        <f t="shared" si="8"/>
        <v>#DIV/0!</v>
      </c>
      <c r="P79" s="11"/>
      <c r="Q79" s="18">
        <f t="shared" si="9"/>
        <v>0</v>
      </c>
      <c r="R79" s="12"/>
      <c r="S79" s="12"/>
      <c r="T79" s="18" t="e">
        <f t="shared" si="10"/>
        <v>#DIV/0!</v>
      </c>
      <c r="U79" s="11"/>
      <c r="V79" s="11"/>
      <c r="W79" s="18" t="e">
        <f t="shared" si="11"/>
        <v>#DIV/0!</v>
      </c>
    </row>
    <row r="80" spans="2:23" x14ac:dyDescent="0.3">
      <c r="B80" s="11">
        <v>75</v>
      </c>
      <c r="C80" s="11"/>
      <c r="D80" s="14"/>
      <c r="E80" s="11"/>
      <c r="F80" s="11"/>
      <c r="G80" s="11"/>
      <c r="H80" s="18">
        <f t="shared" si="6"/>
        <v>0</v>
      </c>
      <c r="I80" s="11"/>
      <c r="J80" s="11"/>
      <c r="K80" s="11"/>
      <c r="L80" s="30" t="e">
        <f t="shared" si="7"/>
        <v>#DIV/0!</v>
      </c>
      <c r="M80" s="11"/>
      <c r="N80" s="11"/>
      <c r="O80" s="18" t="e">
        <f t="shared" si="8"/>
        <v>#DIV/0!</v>
      </c>
      <c r="P80" s="11"/>
      <c r="Q80" s="18">
        <f t="shared" si="9"/>
        <v>0</v>
      </c>
      <c r="R80" s="12"/>
      <c r="S80" s="12"/>
      <c r="T80" s="18" t="e">
        <f t="shared" si="10"/>
        <v>#DIV/0!</v>
      </c>
      <c r="U80" s="11"/>
      <c r="V80" s="11"/>
      <c r="W80" s="18" t="e">
        <f t="shared" si="11"/>
        <v>#DIV/0!</v>
      </c>
    </row>
    <row r="81" spans="2:23" x14ac:dyDescent="0.3">
      <c r="B81" s="11">
        <v>76</v>
      </c>
      <c r="C81" s="11"/>
      <c r="D81" s="14"/>
      <c r="E81" s="11"/>
      <c r="F81" s="11"/>
      <c r="G81" s="11"/>
      <c r="H81" s="18">
        <f t="shared" si="6"/>
        <v>0</v>
      </c>
      <c r="I81" s="11"/>
      <c r="J81" s="11"/>
      <c r="K81" s="11"/>
      <c r="L81" s="30" t="e">
        <f t="shared" si="7"/>
        <v>#DIV/0!</v>
      </c>
      <c r="M81" s="11"/>
      <c r="N81" s="11"/>
      <c r="O81" s="18" t="e">
        <f t="shared" si="8"/>
        <v>#DIV/0!</v>
      </c>
      <c r="P81" s="11"/>
      <c r="Q81" s="18">
        <f t="shared" si="9"/>
        <v>0</v>
      </c>
      <c r="R81" s="12"/>
      <c r="S81" s="12"/>
      <c r="T81" s="18" t="e">
        <f t="shared" si="10"/>
        <v>#DIV/0!</v>
      </c>
      <c r="U81" s="11"/>
      <c r="V81" s="11"/>
      <c r="W81" s="18" t="e">
        <f t="shared" si="11"/>
        <v>#DIV/0!</v>
      </c>
    </row>
    <row r="82" spans="2:23" x14ac:dyDescent="0.3">
      <c r="B82" s="11">
        <v>77</v>
      </c>
      <c r="C82" s="11"/>
      <c r="D82" s="14"/>
      <c r="E82" s="11"/>
      <c r="F82" s="11"/>
      <c r="G82" s="11"/>
      <c r="H82" s="18">
        <f t="shared" si="6"/>
        <v>0</v>
      </c>
      <c r="I82" s="11"/>
      <c r="J82" s="11"/>
      <c r="K82" s="11"/>
      <c r="L82" s="30" t="e">
        <f t="shared" si="7"/>
        <v>#DIV/0!</v>
      </c>
      <c r="M82" s="11"/>
      <c r="N82" s="11"/>
      <c r="O82" s="18" t="e">
        <f t="shared" si="8"/>
        <v>#DIV/0!</v>
      </c>
      <c r="P82" s="11"/>
      <c r="Q82" s="18">
        <f t="shared" si="9"/>
        <v>0</v>
      </c>
      <c r="R82" s="12"/>
      <c r="S82" s="12"/>
      <c r="T82" s="18" t="e">
        <f t="shared" si="10"/>
        <v>#DIV/0!</v>
      </c>
      <c r="U82" s="11"/>
      <c r="V82" s="11"/>
      <c r="W82" s="18" t="e">
        <f t="shared" si="11"/>
        <v>#DIV/0!</v>
      </c>
    </row>
    <row r="83" spans="2:23" x14ac:dyDescent="0.3">
      <c r="B83" s="11">
        <v>78</v>
      </c>
      <c r="C83" s="11"/>
      <c r="D83" s="14"/>
      <c r="E83" s="11"/>
      <c r="F83" s="11"/>
      <c r="G83" s="11"/>
      <c r="H83" s="18">
        <f t="shared" si="6"/>
        <v>0</v>
      </c>
      <c r="I83" s="11"/>
      <c r="J83" s="11"/>
      <c r="K83" s="11"/>
      <c r="L83" s="30" t="e">
        <f t="shared" si="7"/>
        <v>#DIV/0!</v>
      </c>
      <c r="M83" s="11"/>
      <c r="N83" s="11"/>
      <c r="O83" s="18" t="e">
        <f t="shared" si="8"/>
        <v>#DIV/0!</v>
      </c>
      <c r="P83" s="11"/>
      <c r="Q83" s="18">
        <f t="shared" si="9"/>
        <v>0</v>
      </c>
      <c r="R83" s="12"/>
      <c r="S83" s="12"/>
      <c r="T83" s="18" t="e">
        <f t="shared" si="10"/>
        <v>#DIV/0!</v>
      </c>
      <c r="U83" s="11"/>
      <c r="V83" s="11"/>
      <c r="W83" s="18" t="e">
        <f t="shared" si="11"/>
        <v>#DIV/0!</v>
      </c>
    </row>
    <row r="84" spans="2:23" x14ac:dyDescent="0.3">
      <c r="B84" s="11">
        <v>79</v>
      </c>
      <c r="C84" s="11"/>
      <c r="D84" s="14"/>
      <c r="E84" s="11"/>
      <c r="F84" s="11"/>
      <c r="G84" s="11"/>
      <c r="H84" s="18">
        <f t="shared" si="6"/>
        <v>0</v>
      </c>
      <c r="I84" s="11"/>
      <c r="J84" s="11"/>
      <c r="K84" s="11"/>
      <c r="L84" s="30" t="e">
        <f t="shared" si="7"/>
        <v>#DIV/0!</v>
      </c>
      <c r="M84" s="11"/>
      <c r="N84" s="11"/>
      <c r="O84" s="18" t="e">
        <f t="shared" si="8"/>
        <v>#DIV/0!</v>
      </c>
      <c r="P84" s="11"/>
      <c r="Q84" s="18">
        <f t="shared" si="9"/>
        <v>0</v>
      </c>
      <c r="R84" s="12"/>
      <c r="S84" s="12"/>
      <c r="T84" s="18" t="e">
        <f t="shared" si="10"/>
        <v>#DIV/0!</v>
      </c>
      <c r="U84" s="11"/>
      <c r="V84" s="11"/>
      <c r="W84" s="18" t="e">
        <f t="shared" si="11"/>
        <v>#DIV/0!</v>
      </c>
    </row>
    <row r="85" spans="2:23" x14ac:dyDescent="0.3">
      <c r="B85" s="11">
        <v>80</v>
      </c>
      <c r="C85" s="11"/>
      <c r="D85" s="14"/>
      <c r="E85" s="11"/>
      <c r="F85" s="11"/>
      <c r="G85" s="11"/>
      <c r="H85" s="18">
        <f t="shared" si="6"/>
        <v>0</v>
      </c>
      <c r="I85" s="11"/>
      <c r="J85" s="11"/>
      <c r="K85" s="11"/>
      <c r="L85" s="30" t="e">
        <f t="shared" si="7"/>
        <v>#DIV/0!</v>
      </c>
      <c r="M85" s="11"/>
      <c r="N85" s="11"/>
      <c r="O85" s="18" t="e">
        <f t="shared" si="8"/>
        <v>#DIV/0!</v>
      </c>
      <c r="P85" s="11"/>
      <c r="Q85" s="18">
        <f t="shared" si="9"/>
        <v>0</v>
      </c>
      <c r="R85" s="12"/>
      <c r="S85" s="12"/>
      <c r="T85" s="18" t="e">
        <f t="shared" si="10"/>
        <v>#DIV/0!</v>
      </c>
      <c r="U85" s="11"/>
      <c r="V85" s="11"/>
      <c r="W85" s="18" t="e">
        <f t="shared" si="11"/>
        <v>#DIV/0!</v>
      </c>
    </row>
    <row r="86" spans="2:23" x14ac:dyDescent="0.3">
      <c r="B86" s="11">
        <v>81</v>
      </c>
      <c r="C86" s="11"/>
      <c r="D86" s="14"/>
      <c r="E86" s="11"/>
      <c r="F86" s="11"/>
      <c r="G86" s="11"/>
      <c r="H86" s="18">
        <f t="shared" si="6"/>
        <v>0</v>
      </c>
      <c r="I86" s="11"/>
      <c r="J86" s="11"/>
      <c r="K86" s="11"/>
      <c r="L86" s="30" t="e">
        <f t="shared" si="7"/>
        <v>#DIV/0!</v>
      </c>
      <c r="M86" s="11"/>
      <c r="N86" s="11"/>
      <c r="O86" s="18" t="e">
        <f t="shared" si="8"/>
        <v>#DIV/0!</v>
      </c>
      <c r="P86" s="11"/>
      <c r="Q86" s="18">
        <f t="shared" si="9"/>
        <v>0</v>
      </c>
      <c r="R86" s="12"/>
      <c r="S86" s="12"/>
      <c r="T86" s="18" t="e">
        <f t="shared" si="10"/>
        <v>#DIV/0!</v>
      </c>
      <c r="U86" s="11"/>
      <c r="V86" s="11"/>
      <c r="W86" s="18" t="e">
        <f t="shared" si="11"/>
        <v>#DIV/0!</v>
      </c>
    </row>
    <row r="87" spans="2:23" x14ac:dyDescent="0.3">
      <c r="B87" s="11">
        <v>82</v>
      </c>
      <c r="C87" s="11"/>
      <c r="D87" s="14"/>
      <c r="E87" s="11"/>
      <c r="F87" s="11"/>
      <c r="G87" s="11"/>
      <c r="H87" s="18">
        <f t="shared" si="6"/>
        <v>0</v>
      </c>
      <c r="I87" s="11"/>
      <c r="J87" s="11"/>
      <c r="K87" s="11"/>
      <c r="L87" s="30" t="e">
        <f t="shared" si="7"/>
        <v>#DIV/0!</v>
      </c>
      <c r="M87" s="11"/>
      <c r="N87" s="11"/>
      <c r="O87" s="18" t="e">
        <f t="shared" si="8"/>
        <v>#DIV/0!</v>
      </c>
      <c r="P87" s="11"/>
      <c r="Q87" s="18">
        <f t="shared" si="9"/>
        <v>0</v>
      </c>
      <c r="R87" s="12"/>
      <c r="S87" s="12"/>
      <c r="T87" s="18" t="e">
        <f t="shared" si="10"/>
        <v>#DIV/0!</v>
      </c>
      <c r="U87" s="11"/>
      <c r="V87" s="11"/>
      <c r="W87" s="18" t="e">
        <f t="shared" si="11"/>
        <v>#DIV/0!</v>
      </c>
    </row>
    <row r="88" spans="2:23" x14ac:dyDescent="0.3">
      <c r="B88" s="11">
        <v>83</v>
      </c>
      <c r="C88" s="11"/>
      <c r="D88" s="14"/>
      <c r="E88" s="11"/>
      <c r="F88" s="11"/>
      <c r="G88" s="11"/>
      <c r="H88" s="18">
        <f t="shared" si="6"/>
        <v>0</v>
      </c>
      <c r="I88" s="11"/>
      <c r="J88" s="11"/>
      <c r="K88" s="11"/>
      <c r="L88" s="30" t="e">
        <f t="shared" si="7"/>
        <v>#DIV/0!</v>
      </c>
      <c r="M88" s="11"/>
      <c r="N88" s="11"/>
      <c r="O88" s="18" t="e">
        <f t="shared" si="8"/>
        <v>#DIV/0!</v>
      </c>
      <c r="P88" s="11"/>
      <c r="Q88" s="18">
        <f t="shared" si="9"/>
        <v>0</v>
      </c>
      <c r="R88" s="12"/>
      <c r="S88" s="12"/>
      <c r="T88" s="18" t="e">
        <f t="shared" si="10"/>
        <v>#DIV/0!</v>
      </c>
      <c r="U88" s="11"/>
      <c r="V88" s="11"/>
      <c r="W88" s="18" t="e">
        <f t="shared" si="11"/>
        <v>#DIV/0!</v>
      </c>
    </row>
    <row r="89" spans="2:23" x14ac:dyDescent="0.3">
      <c r="B89" s="11">
        <v>84</v>
      </c>
      <c r="C89" s="11"/>
      <c r="D89" s="14"/>
      <c r="E89" s="11"/>
      <c r="F89" s="11"/>
      <c r="G89" s="11"/>
      <c r="H89" s="18">
        <f t="shared" si="6"/>
        <v>0</v>
      </c>
      <c r="I89" s="11"/>
      <c r="J89" s="11"/>
      <c r="K89" s="11"/>
      <c r="L89" s="30" t="e">
        <f t="shared" si="7"/>
        <v>#DIV/0!</v>
      </c>
      <c r="M89" s="11"/>
      <c r="N89" s="11"/>
      <c r="O89" s="18" t="e">
        <f t="shared" si="8"/>
        <v>#DIV/0!</v>
      </c>
      <c r="P89" s="11"/>
      <c r="Q89" s="18">
        <f t="shared" si="9"/>
        <v>0</v>
      </c>
      <c r="R89" s="12"/>
      <c r="S89" s="12"/>
      <c r="T89" s="18" t="e">
        <f t="shared" si="10"/>
        <v>#DIV/0!</v>
      </c>
      <c r="U89" s="11"/>
      <c r="V89" s="11"/>
      <c r="W89" s="18" t="e">
        <f t="shared" si="11"/>
        <v>#DIV/0!</v>
      </c>
    </row>
    <row r="90" spans="2:23" x14ac:dyDescent="0.3">
      <c r="B90" s="11">
        <v>85</v>
      </c>
      <c r="C90" s="11"/>
      <c r="D90" s="14"/>
      <c r="E90" s="11"/>
      <c r="F90" s="11"/>
      <c r="G90" s="11"/>
      <c r="H90" s="18">
        <f t="shared" ref="H90:H153" si="12">G90</f>
        <v>0</v>
      </c>
      <c r="I90" s="11"/>
      <c r="J90" s="11"/>
      <c r="K90" s="11"/>
      <c r="L90" s="30" t="e">
        <f t="shared" ref="L90:L153" si="13">AVERAGE(J90:K90)</f>
        <v>#DIV/0!</v>
      </c>
      <c r="M90" s="11"/>
      <c r="N90" s="11"/>
      <c r="O90" s="18" t="e">
        <f t="shared" ref="O90:O153" si="14">AVERAGE(M90:N90)</f>
        <v>#DIV/0!</v>
      </c>
      <c r="P90" s="11"/>
      <c r="Q90" s="18">
        <f t="shared" ref="Q90:Q153" si="15">P90</f>
        <v>0</v>
      </c>
      <c r="R90" s="12"/>
      <c r="S90" s="12"/>
      <c r="T90" s="18" t="e">
        <f t="shared" ref="T90:T153" si="16">AVERAGE(R90:S90)</f>
        <v>#DIV/0!</v>
      </c>
      <c r="U90" s="11"/>
      <c r="V90" s="11"/>
      <c r="W90" s="18" t="e">
        <f t="shared" ref="W90:W153" si="17">AVERAGE(U90:V90)</f>
        <v>#DIV/0!</v>
      </c>
    </row>
    <row r="91" spans="2:23" x14ac:dyDescent="0.3">
      <c r="B91" s="11">
        <v>86</v>
      </c>
      <c r="C91" s="11"/>
      <c r="D91" s="14"/>
      <c r="E91" s="11"/>
      <c r="F91" s="11"/>
      <c r="G91" s="11"/>
      <c r="H91" s="18">
        <f t="shared" si="12"/>
        <v>0</v>
      </c>
      <c r="I91" s="11"/>
      <c r="J91" s="11"/>
      <c r="K91" s="11"/>
      <c r="L91" s="30" t="e">
        <f t="shared" si="13"/>
        <v>#DIV/0!</v>
      </c>
      <c r="M91" s="11"/>
      <c r="N91" s="11"/>
      <c r="O91" s="18" t="e">
        <f t="shared" si="14"/>
        <v>#DIV/0!</v>
      </c>
      <c r="P91" s="11"/>
      <c r="Q91" s="18">
        <f t="shared" si="15"/>
        <v>0</v>
      </c>
      <c r="R91" s="12"/>
      <c r="S91" s="12"/>
      <c r="T91" s="18" t="e">
        <f t="shared" si="16"/>
        <v>#DIV/0!</v>
      </c>
      <c r="U91" s="11"/>
      <c r="V91" s="11"/>
      <c r="W91" s="18" t="e">
        <f t="shared" si="17"/>
        <v>#DIV/0!</v>
      </c>
    </row>
    <row r="92" spans="2:23" x14ac:dyDescent="0.3">
      <c r="B92" s="11">
        <v>87</v>
      </c>
      <c r="C92" s="11"/>
      <c r="D92" s="14"/>
      <c r="E92" s="11"/>
      <c r="F92" s="11"/>
      <c r="G92" s="11"/>
      <c r="H92" s="18">
        <f t="shared" si="12"/>
        <v>0</v>
      </c>
      <c r="I92" s="11"/>
      <c r="J92" s="11"/>
      <c r="K92" s="11"/>
      <c r="L92" s="30" t="e">
        <f t="shared" si="13"/>
        <v>#DIV/0!</v>
      </c>
      <c r="M92" s="11"/>
      <c r="N92" s="11"/>
      <c r="O92" s="18" t="e">
        <f t="shared" si="14"/>
        <v>#DIV/0!</v>
      </c>
      <c r="P92" s="11"/>
      <c r="Q92" s="18">
        <f t="shared" si="15"/>
        <v>0</v>
      </c>
      <c r="R92" s="12"/>
      <c r="S92" s="12"/>
      <c r="T92" s="18" t="e">
        <f t="shared" si="16"/>
        <v>#DIV/0!</v>
      </c>
      <c r="U92" s="11"/>
      <c r="V92" s="11"/>
      <c r="W92" s="18" t="e">
        <f t="shared" si="17"/>
        <v>#DIV/0!</v>
      </c>
    </row>
    <row r="93" spans="2:23" x14ac:dyDescent="0.3">
      <c r="B93" s="11">
        <v>88</v>
      </c>
      <c r="C93" s="11"/>
      <c r="D93" s="14"/>
      <c r="E93" s="11"/>
      <c r="F93" s="11"/>
      <c r="G93" s="11"/>
      <c r="H93" s="18">
        <f t="shared" si="12"/>
        <v>0</v>
      </c>
      <c r="I93" s="11"/>
      <c r="J93" s="11"/>
      <c r="K93" s="11"/>
      <c r="L93" s="30" t="e">
        <f t="shared" si="13"/>
        <v>#DIV/0!</v>
      </c>
      <c r="M93" s="11"/>
      <c r="N93" s="11"/>
      <c r="O93" s="18" t="e">
        <f t="shared" si="14"/>
        <v>#DIV/0!</v>
      </c>
      <c r="P93" s="11"/>
      <c r="Q93" s="18">
        <f t="shared" si="15"/>
        <v>0</v>
      </c>
      <c r="R93" s="12"/>
      <c r="S93" s="12"/>
      <c r="T93" s="18" t="e">
        <f t="shared" si="16"/>
        <v>#DIV/0!</v>
      </c>
      <c r="U93" s="11"/>
      <c r="V93" s="11"/>
      <c r="W93" s="18" t="e">
        <f t="shared" si="17"/>
        <v>#DIV/0!</v>
      </c>
    </row>
    <row r="94" spans="2:23" x14ac:dyDescent="0.3">
      <c r="B94" s="11">
        <v>89</v>
      </c>
      <c r="C94" s="11"/>
      <c r="D94" s="14"/>
      <c r="E94" s="11"/>
      <c r="F94" s="11"/>
      <c r="G94" s="11"/>
      <c r="H94" s="18">
        <f t="shared" si="12"/>
        <v>0</v>
      </c>
      <c r="I94" s="11"/>
      <c r="J94" s="11"/>
      <c r="K94" s="11"/>
      <c r="L94" s="30" t="e">
        <f t="shared" si="13"/>
        <v>#DIV/0!</v>
      </c>
      <c r="M94" s="11"/>
      <c r="N94" s="11"/>
      <c r="O94" s="18" t="e">
        <f t="shared" si="14"/>
        <v>#DIV/0!</v>
      </c>
      <c r="P94" s="11"/>
      <c r="Q94" s="18">
        <f t="shared" si="15"/>
        <v>0</v>
      </c>
      <c r="R94" s="12"/>
      <c r="S94" s="12"/>
      <c r="T94" s="18" t="e">
        <f t="shared" si="16"/>
        <v>#DIV/0!</v>
      </c>
      <c r="U94" s="11"/>
      <c r="V94" s="11"/>
      <c r="W94" s="18" t="e">
        <f t="shared" si="17"/>
        <v>#DIV/0!</v>
      </c>
    </row>
    <row r="95" spans="2:23" x14ac:dyDescent="0.3">
      <c r="B95" s="11">
        <v>90</v>
      </c>
      <c r="C95" s="11"/>
      <c r="D95" s="14"/>
      <c r="E95" s="11"/>
      <c r="F95" s="11"/>
      <c r="G95" s="11"/>
      <c r="H95" s="18">
        <f t="shared" si="12"/>
        <v>0</v>
      </c>
      <c r="I95" s="11"/>
      <c r="J95" s="11"/>
      <c r="K95" s="11"/>
      <c r="L95" s="30" t="e">
        <f t="shared" si="13"/>
        <v>#DIV/0!</v>
      </c>
      <c r="M95" s="11"/>
      <c r="N95" s="11"/>
      <c r="O95" s="18" t="e">
        <f t="shared" si="14"/>
        <v>#DIV/0!</v>
      </c>
      <c r="P95" s="11"/>
      <c r="Q95" s="18">
        <f t="shared" si="15"/>
        <v>0</v>
      </c>
      <c r="R95" s="12"/>
      <c r="S95" s="12"/>
      <c r="T95" s="18" t="e">
        <f t="shared" si="16"/>
        <v>#DIV/0!</v>
      </c>
      <c r="U95" s="11"/>
      <c r="V95" s="11"/>
      <c r="W95" s="18" t="e">
        <f t="shared" si="17"/>
        <v>#DIV/0!</v>
      </c>
    </row>
    <row r="96" spans="2:23" x14ac:dyDescent="0.3">
      <c r="B96" s="11">
        <v>91</v>
      </c>
      <c r="C96" s="11"/>
      <c r="D96" s="14"/>
      <c r="E96" s="11"/>
      <c r="F96" s="11"/>
      <c r="G96" s="11"/>
      <c r="H96" s="18">
        <f t="shared" si="12"/>
        <v>0</v>
      </c>
      <c r="I96" s="11"/>
      <c r="J96" s="11"/>
      <c r="K96" s="11"/>
      <c r="L96" s="30" t="e">
        <f t="shared" si="13"/>
        <v>#DIV/0!</v>
      </c>
      <c r="M96" s="11"/>
      <c r="N96" s="11"/>
      <c r="O96" s="18" t="e">
        <f t="shared" si="14"/>
        <v>#DIV/0!</v>
      </c>
      <c r="P96" s="11"/>
      <c r="Q96" s="18">
        <f t="shared" si="15"/>
        <v>0</v>
      </c>
      <c r="R96" s="12"/>
      <c r="S96" s="12"/>
      <c r="T96" s="18" t="e">
        <f t="shared" si="16"/>
        <v>#DIV/0!</v>
      </c>
      <c r="U96" s="11"/>
      <c r="V96" s="11"/>
      <c r="W96" s="18" t="e">
        <f t="shared" si="17"/>
        <v>#DIV/0!</v>
      </c>
    </row>
    <row r="97" spans="2:23" x14ac:dyDescent="0.3">
      <c r="B97" s="11">
        <v>92</v>
      </c>
      <c r="C97" s="11"/>
      <c r="D97" s="14"/>
      <c r="E97" s="11"/>
      <c r="F97" s="11"/>
      <c r="G97" s="11"/>
      <c r="H97" s="18">
        <f t="shared" si="12"/>
        <v>0</v>
      </c>
      <c r="I97" s="11"/>
      <c r="J97" s="11"/>
      <c r="K97" s="11"/>
      <c r="L97" s="30" t="e">
        <f t="shared" si="13"/>
        <v>#DIV/0!</v>
      </c>
      <c r="M97" s="11"/>
      <c r="N97" s="11"/>
      <c r="O97" s="18" t="e">
        <f t="shared" si="14"/>
        <v>#DIV/0!</v>
      </c>
      <c r="P97" s="11"/>
      <c r="Q97" s="18">
        <f t="shared" si="15"/>
        <v>0</v>
      </c>
      <c r="R97" s="12"/>
      <c r="S97" s="12"/>
      <c r="T97" s="18" t="e">
        <f t="shared" si="16"/>
        <v>#DIV/0!</v>
      </c>
      <c r="U97" s="11"/>
      <c r="V97" s="11"/>
      <c r="W97" s="18" t="e">
        <f t="shared" si="17"/>
        <v>#DIV/0!</v>
      </c>
    </row>
    <row r="98" spans="2:23" x14ac:dyDescent="0.3">
      <c r="B98" s="11">
        <v>93</v>
      </c>
      <c r="C98" s="11"/>
      <c r="D98" s="14"/>
      <c r="E98" s="11"/>
      <c r="F98" s="11"/>
      <c r="G98" s="11"/>
      <c r="H98" s="18">
        <f t="shared" si="12"/>
        <v>0</v>
      </c>
      <c r="I98" s="11"/>
      <c r="J98" s="11"/>
      <c r="K98" s="11"/>
      <c r="L98" s="30" t="e">
        <f t="shared" si="13"/>
        <v>#DIV/0!</v>
      </c>
      <c r="M98" s="11"/>
      <c r="N98" s="11"/>
      <c r="O98" s="18" t="e">
        <f t="shared" si="14"/>
        <v>#DIV/0!</v>
      </c>
      <c r="P98" s="11"/>
      <c r="Q98" s="18">
        <f t="shared" si="15"/>
        <v>0</v>
      </c>
      <c r="R98" s="12"/>
      <c r="S98" s="12"/>
      <c r="T98" s="18" t="e">
        <f t="shared" si="16"/>
        <v>#DIV/0!</v>
      </c>
      <c r="U98" s="11"/>
      <c r="V98" s="11"/>
      <c r="W98" s="18" t="e">
        <f t="shared" si="17"/>
        <v>#DIV/0!</v>
      </c>
    </row>
    <row r="99" spans="2:23" x14ac:dyDescent="0.3">
      <c r="B99" s="11">
        <v>94</v>
      </c>
      <c r="C99" s="11"/>
      <c r="D99" s="14"/>
      <c r="E99" s="11"/>
      <c r="F99" s="11"/>
      <c r="G99" s="11"/>
      <c r="H99" s="18">
        <f t="shared" si="12"/>
        <v>0</v>
      </c>
      <c r="I99" s="11"/>
      <c r="J99" s="11"/>
      <c r="K99" s="11"/>
      <c r="L99" s="30" t="e">
        <f t="shared" si="13"/>
        <v>#DIV/0!</v>
      </c>
      <c r="M99" s="11"/>
      <c r="N99" s="11"/>
      <c r="O99" s="18" t="e">
        <f t="shared" si="14"/>
        <v>#DIV/0!</v>
      </c>
      <c r="P99" s="11"/>
      <c r="Q99" s="18">
        <f t="shared" si="15"/>
        <v>0</v>
      </c>
      <c r="R99" s="12"/>
      <c r="S99" s="12"/>
      <c r="T99" s="18" t="e">
        <f t="shared" si="16"/>
        <v>#DIV/0!</v>
      </c>
      <c r="U99" s="11"/>
      <c r="V99" s="11"/>
      <c r="W99" s="18" t="e">
        <f t="shared" si="17"/>
        <v>#DIV/0!</v>
      </c>
    </row>
    <row r="100" spans="2:23" x14ac:dyDescent="0.3">
      <c r="B100" s="11">
        <v>95</v>
      </c>
      <c r="C100" s="11"/>
      <c r="D100" s="14"/>
      <c r="E100" s="11"/>
      <c r="F100" s="11"/>
      <c r="G100" s="11"/>
      <c r="H100" s="18">
        <f t="shared" si="12"/>
        <v>0</v>
      </c>
      <c r="I100" s="11"/>
      <c r="J100" s="11"/>
      <c r="K100" s="11"/>
      <c r="L100" s="30" t="e">
        <f t="shared" si="13"/>
        <v>#DIV/0!</v>
      </c>
      <c r="M100" s="11"/>
      <c r="N100" s="11"/>
      <c r="O100" s="18" t="e">
        <f t="shared" si="14"/>
        <v>#DIV/0!</v>
      </c>
      <c r="P100" s="11"/>
      <c r="Q100" s="18">
        <f t="shared" si="15"/>
        <v>0</v>
      </c>
      <c r="R100" s="12"/>
      <c r="S100" s="12"/>
      <c r="T100" s="18" t="e">
        <f t="shared" si="16"/>
        <v>#DIV/0!</v>
      </c>
      <c r="U100" s="11"/>
      <c r="V100" s="11"/>
      <c r="W100" s="18" t="e">
        <f t="shared" si="17"/>
        <v>#DIV/0!</v>
      </c>
    </row>
    <row r="101" spans="2:23" x14ac:dyDescent="0.3">
      <c r="B101" s="11">
        <v>96</v>
      </c>
      <c r="C101" s="11"/>
      <c r="D101" s="14"/>
      <c r="E101" s="11"/>
      <c r="F101" s="11"/>
      <c r="G101" s="11"/>
      <c r="H101" s="18">
        <f t="shared" si="12"/>
        <v>0</v>
      </c>
      <c r="I101" s="11"/>
      <c r="J101" s="11"/>
      <c r="K101" s="11"/>
      <c r="L101" s="30" t="e">
        <f t="shared" si="13"/>
        <v>#DIV/0!</v>
      </c>
      <c r="M101" s="11"/>
      <c r="N101" s="11"/>
      <c r="O101" s="18" t="e">
        <f t="shared" si="14"/>
        <v>#DIV/0!</v>
      </c>
      <c r="P101" s="11"/>
      <c r="Q101" s="18">
        <f t="shared" si="15"/>
        <v>0</v>
      </c>
      <c r="R101" s="12"/>
      <c r="S101" s="12"/>
      <c r="T101" s="18" t="e">
        <f t="shared" si="16"/>
        <v>#DIV/0!</v>
      </c>
      <c r="U101" s="11"/>
      <c r="V101" s="11"/>
      <c r="W101" s="18" t="e">
        <f t="shared" si="17"/>
        <v>#DIV/0!</v>
      </c>
    </row>
    <row r="102" spans="2:23" x14ac:dyDescent="0.3">
      <c r="B102" s="11">
        <v>97</v>
      </c>
      <c r="C102" s="11"/>
      <c r="D102" s="14"/>
      <c r="E102" s="11"/>
      <c r="F102" s="11"/>
      <c r="G102" s="11"/>
      <c r="H102" s="18">
        <f t="shared" si="12"/>
        <v>0</v>
      </c>
      <c r="I102" s="11"/>
      <c r="J102" s="11"/>
      <c r="K102" s="11"/>
      <c r="L102" s="30" t="e">
        <f t="shared" si="13"/>
        <v>#DIV/0!</v>
      </c>
      <c r="M102" s="11"/>
      <c r="N102" s="11"/>
      <c r="O102" s="18" t="e">
        <f t="shared" si="14"/>
        <v>#DIV/0!</v>
      </c>
      <c r="P102" s="11"/>
      <c r="Q102" s="18">
        <f t="shared" si="15"/>
        <v>0</v>
      </c>
      <c r="R102" s="12"/>
      <c r="S102" s="12"/>
      <c r="T102" s="18" t="e">
        <f t="shared" si="16"/>
        <v>#DIV/0!</v>
      </c>
      <c r="U102" s="11"/>
      <c r="V102" s="11"/>
      <c r="W102" s="18" t="e">
        <f t="shared" si="17"/>
        <v>#DIV/0!</v>
      </c>
    </row>
    <row r="103" spans="2:23" x14ac:dyDescent="0.3">
      <c r="B103" s="11">
        <v>98</v>
      </c>
      <c r="C103" s="11"/>
      <c r="D103" s="14"/>
      <c r="E103" s="11"/>
      <c r="F103" s="11"/>
      <c r="G103" s="11"/>
      <c r="H103" s="18">
        <f t="shared" si="12"/>
        <v>0</v>
      </c>
      <c r="I103" s="11"/>
      <c r="J103" s="11"/>
      <c r="K103" s="11"/>
      <c r="L103" s="30" t="e">
        <f t="shared" si="13"/>
        <v>#DIV/0!</v>
      </c>
      <c r="M103" s="11"/>
      <c r="N103" s="11"/>
      <c r="O103" s="18" t="e">
        <f t="shared" si="14"/>
        <v>#DIV/0!</v>
      </c>
      <c r="P103" s="11"/>
      <c r="Q103" s="18">
        <f t="shared" si="15"/>
        <v>0</v>
      </c>
      <c r="R103" s="12"/>
      <c r="S103" s="12"/>
      <c r="T103" s="18" t="e">
        <f t="shared" si="16"/>
        <v>#DIV/0!</v>
      </c>
      <c r="U103" s="11"/>
      <c r="V103" s="11"/>
      <c r="W103" s="18" t="e">
        <f t="shared" si="17"/>
        <v>#DIV/0!</v>
      </c>
    </row>
    <row r="104" spans="2:23" x14ac:dyDescent="0.3">
      <c r="B104" s="11">
        <v>99</v>
      </c>
      <c r="C104" s="11"/>
      <c r="D104" s="14"/>
      <c r="E104" s="11"/>
      <c r="F104" s="11"/>
      <c r="G104" s="11"/>
      <c r="H104" s="18">
        <f t="shared" si="12"/>
        <v>0</v>
      </c>
      <c r="I104" s="11"/>
      <c r="J104" s="11"/>
      <c r="K104" s="11"/>
      <c r="L104" s="30" t="e">
        <f t="shared" si="13"/>
        <v>#DIV/0!</v>
      </c>
      <c r="M104" s="11"/>
      <c r="N104" s="11"/>
      <c r="O104" s="18" t="e">
        <f t="shared" si="14"/>
        <v>#DIV/0!</v>
      </c>
      <c r="P104" s="11"/>
      <c r="Q104" s="18">
        <f t="shared" si="15"/>
        <v>0</v>
      </c>
      <c r="R104" s="12"/>
      <c r="S104" s="12"/>
      <c r="T104" s="18" t="e">
        <f t="shared" si="16"/>
        <v>#DIV/0!</v>
      </c>
      <c r="U104" s="11"/>
      <c r="V104" s="11"/>
      <c r="W104" s="18" t="e">
        <f t="shared" si="17"/>
        <v>#DIV/0!</v>
      </c>
    </row>
    <row r="105" spans="2:23" x14ac:dyDescent="0.3">
      <c r="B105" s="11">
        <v>100</v>
      </c>
      <c r="C105" s="11"/>
      <c r="D105" s="14"/>
      <c r="E105" s="11"/>
      <c r="F105" s="11"/>
      <c r="G105" s="11"/>
      <c r="H105" s="18">
        <f t="shared" si="12"/>
        <v>0</v>
      </c>
      <c r="I105" s="11"/>
      <c r="J105" s="11"/>
      <c r="K105" s="11"/>
      <c r="L105" s="30" t="e">
        <f t="shared" si="13"/>
        <v>#DIV/0!</v>
      </c>
      <c r="M105" s="11"/>
      <c r="N105" s="11"/>
      <c r="O105" s="18" t="e">
        <f t="shared" si="14"/>
        <v>#DIV/0!</v>
      </c>
      <c r="P105" s="11"/>
      <c r="Q105" s="18">
        <f t="shared" si="15"/>
        <v>0</v>
      </c>
      <c r="R105" s="12"/>
      <c r="S105" s="12"/>
      <c r="T105" s="18" t="e">
        <f t="shared" si="16"/>
        <v>#DIV/0!</v>
      </c>
      <c r="U105" s="11"/>
      <c r="V105" s="11"/>
      <c r="W105" s="18" t="e">
        <f t="shared" si="17"/>
        <v>#DIV/0!</v>
      </c>
    </row>
    <row r="106" spans="2:23" x14ac:dyDescent="0.3">
      <c r="B106" s="11">
        <v>101</v>
      </c>
      <c r="C106" s="11"/>
      <c r="D106" s="14"/>
      <c r="E106" s="11"/>
      <c r="F106" s="11"/>
      <c r="G106" s="11"/>
      <c r="H106" s="18">
        <f t="shared" si="12"/>
        <v>0</v>
      </c>
      <c r="I106" s="11"/>
      <c r="J106" s="11"/>
      <c r="K106" s="11"/>
      <c r="L106" s="30" t="e">
        <f t="shared" si="13"/>
        <v>#DIV/0!</v>
      </c>
      <c r="M106" s="11"/>
      <c r="N106" s="11"/>
      <c r="O106" s="18" t="e">
        <f t="shared" si="14"/>
        <v>#DIV/0!</v>
      </c>
      <c r="P106" s="11"/>
      <c r="Q106" s="18">
        <f t="shared" si="15"/>
        <v>0</v>
      </c>
      <c r="R106" s="12"/>
      <c r="S106" s="12"/>
      <c r="T106" s="18" t="e">
        <f t="shared" si="16"/>
        <v>#DIV/0!</v>
      </c>
      <c r="U106" s="11"/>
      <c r="V106" s="11"/>
      <c r="W106" s="18" t="e">
        <f t="shared" si="17"/>
        <v>#DIV/0!</v>
      </c>
    </row>
    <row r="107" spans="2:23" x14ac:dyDescent="0.3">
      <c r="B107" s="11">
        <v>102</v>
      </c>
      <c r="C107" s="11"/>
      <c r="D107" s="14"/>
      <c r="E107" s="11"/>
      <c r="F107" s="11"/>
      <c r="G107" s="11"/>
      <c r="H107" s="18">
        <f t="shared" si="12"/>
        <v>0</v>
      </c>
      <c r="I107" s="11"/>
      <c r="J107" s="11"/>
      <c r="K107" s="11"/>
      <c r="L107" s="30" t="e">
        <f t="shared" si="13"/>
        <v>#DIV/0!</v>
      </c>
      <c r="M107" s="11"/>
      <c r="N107" s="11"/>
      <c r="O107" s="18" t="e">
        <f t="shared" si="14"/>
        <v>#DIV/0!</v>
      </c>
      <c r="P107" s="11"/>
      <c r="Q107" s="18">
        <f t="shared" si="15"/>
        <v>0</v>
      </c>
      <c r="R107" s="12"/>
      <c r="S107" s="12"/>
      <c r="T107" s="18" t="e">
        <f t="shared" si="16"/>
        <v>#DIV/0!</v>
      </c>
      <c r="U107" s="11"/>
      <c r="V107" s="11"/>
      <c r="W107" s="18" t="e">
        <f t="shared" si="17"/>
        <v>#DIV/0!</v>
      </c>
    </row>
    <row r="108" spans="2:23" x14ac:dyDescent="0.3">
      <c r="B108" s="11">
        <v>103</v>
      </c>
      <c r="C108" s="11"/>
      <c r="D108" s="14"/>
      <c r="E108" s="11"/>
      <c r="F108" s="11"/>
      <c r="G108" s="11"/>
      <c r="H108" s="18">
        <f t="shared" si="12"/>
        <v>0</v>
      </c>
      <c r="I108" s="11"/>
      <c r="J108" s="11"/>
      <c r="K108" s="11"/>
      <c r="L108" s="30" t="e">
        <f t="shared" si="13"/>
        <v>#DIV/0!</v>
      </c>
      <c r="M108" s="11"/>
      <c r="N108" s="11"/>
      <c r="O108" s="18" t="e">
        <f t="shared" si="14"/>
        <v>#DIV/0!</v>
      </c>
      <c r="P108" s="11"/>
      <c r="Q108" s="18">
        <f t="shared" si="15"/>
        <v>0</v>
      </c>
      <c r="R108" s="12"/>
      <c r="S108" s="12"/>
      <c r="T108" s="18" t="e">
        <f t="shared" si="16"/>
        <v>#DIV/0!</v>
      </c>
      <c r="U108" s="11"/>
      <c r="V108" s="11"/>
      <c r="W108" s="18" t="e">
        <f t="shared" si="17"/>
        <v>#DIV/0!</v>
      </c>
    </row>
    <row r="109" spans="2:23" x14ac:dyDescent="0.3">
      <c r="B109" s="11">
        <v>104</v>
      </c>
      <c r="C109" s="11"/>
      <c r="D109" s="14"/>
      <c r="E109" s="11"/>
      <c r="F109" s="11"/>
      <c r="G109" s="11"/>
      <c r="H109" s="18">
        <f t="shared" si="12"/>
        <v>0</v>
      </c>
      <c r="I109" s="11"/>
      <c r="J109" s="11"/>
      <c r="K109" s="11"/>
      <c r="L109" s="30" t="e">
        <f t="shared" si="13"/>
        <v>#DIV/0!</v>
      </c>
      <c r="M109" s="11"/>
      <c r="N109" s="11"/>
      <c r="O109" s="18" t="e">
        <f t="shared" si="14"/>
        <v>#DIV/0!</v>
      </c>
      <c r="P109" s="11"/>
      <c r="Q109" s="18">
        <f t="shared" si="15"/>
        <v>0</v>
      </c>
      <c r="R109" s="12"/>
      <c r="S109" s="12"/>
      <c r="T109" s="18" t="e">
        <f t="shared" si="16"/>
        <v>#DIV/0!</v>
      </c>
      <c r="U109" s="11"/>
      <c r="V109" s="11"/>
      <c r="W109" s="18" t="e">
        <f t="shared" si="17"/>
        <v>#DIV/0!</v>
      </c>
    </row>
    <row r="110" spans="2:23" x14ac:dyDescent="0.3">
      <c r="B110" s="11">
        <v>105</v>
      </c>
      <c r="C110" s="11"/>
      <c r="D110" s="14"/>
      <c r="E110" s="11"/>
      <c r="F110" s="11"/>
      <c r="G110" s="11"/>
      <c r="H110" s="18">
        <f t="shared" si="12"/>
        <v>0</v>
      </c>
      <c r="I110" s="11"/>
      <c r="J110" s="11"/>
      <c r="K110" s="11"/>
      <c r="L110" s="30" t="e">
        <f t="shared" si="13"/>
        <v>#DIV/0!</v>
      </c>
      <c r="M110" s="11"/>
      <c r="N110" s="11"/>
      <c r="O110" s="18" t="e">
        <f t="shared" si="14"/>
        <v>#DIV/0!</v>
      </c>
      <c r="P110" s="11"/>
      <c r="Q110" s="18">
        <f t="shared" si="15"/>
        <v>0</v>
      </c>
      <c r="R110" s="12"/>
      <c r="S110" s="12"/>
      <c r="T110" s="18" t="e">
        <f t="shared" si="16"/>
        <v>#DIV/0!</v>
      </c>
      <c r="U110" s="11"/>
      <c r="V110" s="11"/>
      <c r="W110" s="18" t="e">
        <f t="shared" si="17"/>
        <v>#DIV/0!</v>
      </c>
    </row>
    <row r="111" spans="2:23" x14ac:dyDescent="0.3">
      <c r="B111" s="11">
        <v>106</v>
      </c>
      <c r="C111" s="11"/>
      <c r="D111" s="14"/>
      <c r="E111" s="11"/>
      <c r="F111" s="11"/>
      <c r="G111" s="11"/>
      <c r="H111" s="18">
        <f t="shared" si="12"/>
        <v>0</v>
      </c>
      <c r="I111" s="11"/>
      <c r="J111" s="11"/>
      <c r="K111" s="11"/>
      <c r="L111" s="30" t="e">
        <f t="shared" si="13"/>
        <v>#DIV/0!</v>
      </c>
      <c r="M111" s="11"/>
      <c r="N111" s="11"/>
      <c r="O111" s="18" t="e">
        <f t="shared" si="14"/>
        <v>#DIV/0!</v>
      </c>
      <c r="P111" s="11"/>
      <c r="Q111" s="18">
        <f t="shared" si="15"/>
        <v>0</v>
      </c>
      <c r="R111" s="12"/>
      <c r="S111" s="12"/>
      <c r="T111" s="18" t="e">
        <f t="shared" si="16"/>
        <v>#DIV/0!</v>
      </c>
      <c r="U111" s="11"/>
      <c r="V111" s="11"/>
      <c r="W111" s="18" t="e">
        <f t="shared" si="17"/>
        <v>#DIV/0!</v>
      </c>
    </row>
    <row r="112" spans="2:23" x14ac:dyDescent="0.3">
      <c r="B112" s="11">
        <v>107</v>
      </c>
      <c r="C112" s="11"/>
      <c r="D112" s="14"/>
      <c r="E112" s="11"/>
      <c r="F112" s="11"/>
      <c r="G112" s="11"/>
      <c r="H112" s="18">
        <f t="shared" si="12"/>
        <v>0</v>
      </c>
      <c r="I112" s="11"/>
      <c r="J112" s="11"/>
      <c r="K112" s="11"/>
      <c r="L112" s="30" t="e">
        <f t="shared" si="13"/>
        <v>#DIV/0!</v>
      </c>
      <c r="M112" s="11"/>
      <c r="N112" s="11"/>
      <c r="O112" s="18" t="e">
        <f t="shared" si="14"/>
        <v>#DIV/0!</v>
      </c>
      <c r="P112" s="11"/>
      <c r="Q112" s="18">
        <f t="shared" si="15"/>
        <v>0</v>
      </c>
      <c r="R112" s="12"/>
      <c r="S112" s="12"/>
      <c r="T112" s="18" t="e">
        <f t="shared" si="16"/>
        <v>#DIV/0!</v>
      </c>
      <c r="U112" s="11"/>
      <c r="V112" s="11"/>
      <c r="W112" s="18" t="e">
        <f t="shared" si="17"/>
        <v>#DIV/0!</v>
      </c>
    </row>
    <row r="113" spans="2:23" x14ac:dyDescent="0.3">
      <c r="B113" s="11">
        <v>108</v>
      </c>
      <c r="C113" s="11"/>
      <c r="D113" s="14"/>
      <c r="E113" s="11"/>
      <c r="F113" s="11"/>
      <c r="G113" s="11"/>
      <c r="H113" s="18">
        <f t="shared" si="12"/>
        <v>0</v>
      </c>
      <c r="I113" s="11"/>
      <c r="J113" s="11"/>
      <c r="K113" s="11"/>
      <c r="L113" s="30" t="e">
        <f t="shared" si="13"/>
        <v>#DIV/0!</v>
      </c>
      <c r="M113" s="11"/>
      <c r="N113" s="11"/>
      <c r="O113" s="18" t="e">
        <f t="shared" si="14"/>
        <v>#DIV/0!</v>
      </c>
      <c r="P113" s="11"/>
      <c r="Q113" s="18">
        <f t="shared" si="15"/>
        <v>0</v>
      </c>
      <c r="R113" s="12"/>
      <c r="S113" s="12"/>
      <c r="T113" s="18" t="e">
        <f t="shared" si="16"/>
        <v>#DIV/0!</v>
      </c>
      <c r="U113" s="11"/>
      <c r="V113" s="11"/>
      <c r="W113" s="18" t="e">
        <f t="shared" si="17"/>
        <v>#DIV/0!</v>
      </c>
    </row>
    <row r="114" spans="2:23" x14ac:dyDescent="0.3">
      <c r="B114" s="11">
        <v>109</v>
      </c>
      <c r="C114" s="11"/>
      <c r="D114" s="14"/>
      <c r="E114" s="11"/>
      <c r="F114" s="11"/>
      <c r="G114" s="11"/>
      <c r="H114" s="18">
        <f t="shared" si="12"/>
        <v>0</v>
      </c>
      <c r="I114" s="11"/>
      <c r="J114" s="11"/>
      <c r="K114" s="11"/>
      <c r="L114" s="30" t="e">
        <f t="shared" si="13"/>
        <v>#DIV/0!</v>
      </c>
      <c r="M114" s="11"/>
      <c r="N114" s="11"/>
      <c r="O114" s="18" t="e">
        <f t="shared" si="14"/>
        <v>#DIV/0!</v>
      </c>
      <c r="P114" s="11"/>
      <c r="Q114" s="18">
        <f t="shared" si="15"/>
        <v>0</v>
      </c>
      <c r="R114" s="12"/>
      <c r="S114" s="12"/>
      <c r="T114" s="18" t="e">
        <f t="shared" si="16"/>
        <v>#DIV/0!</v>
      </c>
      <c r="U114" s="11"/>
      <c r="V114" s="11"/>
      <c r="W114" s="18" t="e">
        <f t="shared" si="17"/>
        <v>#DIV/0!</v>
      </c>
    </row>
    <row r="115" spans="2:23" x14ac:dyDescent="0.3">
      <c r="B115" s="11">
        <v>110</v>
      </c>
      <c r="C115" s="11"/>
      <c r="D115" s="14"/>
      <c r="E115" s="11"/>
      <c r="F115" s="11"/>
      <c r="G115" s="11"/>
      <c r="H115" s="18">
        <f t="shared" si="12"/>
        <v>0</v>
      </c>
      <c r="I115" s="11"/>
      <c r="J115" s="11"/>
      <c r="K115" s="11"/>
      <c r="L115" s="30" t="e">
        <f t="shared" si="13"/>
        <v>#DIV/0!</v>
      </c>
      <c r="M115" s="11"/>
      <c r="N115" s="11"/>
      <c r="O115" s="18" t="e">
        <f t="shared" si="14"/>
        <v>#DIV/0!</v>
      </c>
      <c r="P115" s="11"/>
      <c r="Q115" s="18">
        <f t="shared" si="15"/>
        <v>0</v>
      </c>
      <c r="R115" s="12"/>
      <c r="S115" s="12"/>
      <c r="T115" s="18" t="e">
        <f t="shared" si="16"/>
        <v>#DIV/0!</v>
      </c>
      <c r="U115" s="11"/>
      <c r="V115" s="11"/>
      <c r="W115" s="18" t="e">
        <f t="shared" si="17"/>
        <v>#DIV/0!</v>
      </c>
    </row>
    <row r="116" spans="2:23" x14ac:dyDescent="0.3">
      <c r="B116" s="11">
        <v>111</v>
      </c>
      <c r="C116" s="11"/>
      <c r="D116" s="14"/>
      <c r="E116" s="11"/>
      <c r="F116" s="11"/>
      <c r="G116" s="11"/>
      <c r="H116" s="18">
        <f t="shared" si="12"/>
        <v>0</v>
      </c>
      <c r="I116" s="11"/>
      <c r="J116" s="11"/>
      <c r="K116" s="11"/>
      <c r="L116" s="30" t="e">
        <f t="shared" si="13"/>
        <v>#DIV/0!</v>
      </c>
      <c r="M116" s="11"/>
      <c r="N116" s="11"/>
      <c r="O116" s="18" t="e">
        <f t="shared" si="14"/>
        <v>#DIV/0!</v>
      </c>
      <c r="P116" s="11"/>
      <c r="Q116" s="18">
        <f t="shared" si="15"/>
        <v>0</v>
      </c>
      <c r="R116" s="12"/>
      <c r="S116" s="12"/>
      <c r="T116" s="18" t="e">
        <f t="shared" si="16"/>
        <v>#DIV/0!</v>
      </c>
      <c r="U116" s="11"/>
      <c r="V116" s="11"/>
      <c r="W116" s="18" t="e">
        <f t="shared" si="17"/>
        <v>#DIV/0!</v>
      </c>
    </row>
    <row r="117" spans="2:23" x14ac:dyDescent="0.3">
      <c r="B117" s="11">
        <v>112</v>
      </c>
      <c r="C117" s="11"/>
      <c r="D117" s="14"/>
      <c r="E117" s="11"/>
      <c r="F117" s="11"/>
      <c r="G117" s="11"/>
      <c r="H117" s="18">
        <f t="shared" si="12"/>
        <v>0</v>
      </c>
      <c r="I117" s="11"/>
      <c r="J117" s="11"/>
      <c r="K117" s="11"/>
      <c r="L117" s="30" t="e">
        <f t="shared" si="13"/>
        <v>#DIV/0!</v>
      </c>
      <c r="M117" s="11"/>
      <c r="N117" s="11"/>
      <c r="O117" s="18" t="e">
        <f t="shared" si="14"/>
        <v>#DIV/0!</v>
      </c>
      <c r="P117" s="11"/>
      <c r="Q117" s="18">
        <f t="shared" si="15"/>
        <v>0</v>
      </c>
      <c r="R117" s="12"/>
      <c r="S117" s="12"/>
      <c r="T117" s="18" t="e">
        <f t="shared" si="16"/>
        <v>#DIV/0!</v>
      </c>
      <c r="U117" s="11"/>
      <c r="V117" s="11"/>
      <c r="W117" s="18" t="e">
        <f t="shared" si="17"/>
        <v>#DIV/0!</v>
      </c>
    </row>
    <row r="118" spans="2:23" x14ac:dyDescent="0.3">
      <c r="B118" s="11">
        <v>113</v>
      </c>
      <c r="C118" s="11"/>
      <c r="D118" s="14"/>
      <c r="E118" s="11"/>
      <c r="F118" s="11"/>
      <c r="G118" s="11"/>
      <c r="H118" s="18">
        <f t="shared" si="12"/>
        <v>0</v>
      </c>
      <c r="I118" s="11"/>
      <c r="J118" s="11"/>
      <c r="K118" s="11"/>
      <c r="L118" s="30" t="e">
        <f t="shared" si="13"/>
        <v>#DIV/0!</v>
      </c>
      <c r="M118" s="11"/>
      <c r="N118" s="11"/>
      <c r="O118" s="18" t="e">
        <f t="shared" si="14"/>
        <v>#DIV/0!</v>
      </c>
      <c r="P118" s="11"/>
      <c r="Q118" s="18">
        <f t="shared" si="15"/>
        <v>0</v>
      </c>
      <c r="R118" s="12"/>
      <c r="S118" s="12"/>
      <c r="T118" s="18" t="e">
        <f t="shared" si="16"/>
        <v>#DIV/0!</v>
      </c>
      <c r="U118" s="11"/>
      <c r="V118" s="11"/>
      <c r="W118" s="18" t="e">
        <f t="shared" si="17"/>
        <v>#DIV/0!</v>
      </c>
    </row>
    <row r="119" spans="2:23" x14ac:dyDescent="0.3">
      <c r="B119" s="11">
        <v>114</v>
      </c>
      <c r="C119" s="11"/>
      <c r="D119" s="14"/>
      <c r="E119" s="11"/>
      <c r="F119" s="11"/>
      <c r="G119" s="11"/>
      <c r="H119" s="18">
        <f t="shared" si="12"/>
        <v>0</v>
      </c>
      <c r="I119" s="11"/>
      <c r="J119" s="11"/>
      <c r="K119" s="11"/>
      <c r="L119" s="30" t="e">
        <f t="shared" si="13"/>
        <v>#DIV/0!</v>
      </c>
      <c r="M119" s="11"/>
      <c r="N119" s="11"/>
      <c r="O119" s="18" t="e">
        <f t="shared" si="14"/>
        <v>#DIV/0!</v>
      </c>
      <c r="P119" s="11"/>
      <c r="Q119" s="18">
        <f t="shared" si="15"/>
        <v>0</v>
      </c>
      <c r="R119" s="12"/>
      <c r="S119" s="12"/>
      <c r="T119" s="18" t="e">
        <f t="shared" si="16"/>
        <v>#DIV/0!</v>
      </c>
      <c r="U119" s="11"/>
      <c r="V119" s="11"/>
      <c r="W119" s="18" t="e">
        <f t="shared" si="17"/>
        <v>#DIV/0!</v>
      </c>
    </row>
    <row r="120" spans="2:23" x14ac:dyDescent="0.3">
      <c r="B120" s="11">
        <v>115</v>
      </c>
      <c r="C120" s="11"/>
      <c r="D120" s="14"/>
      <c r="E120" s="11"/>
      <c r="F120" s="11"/>
      <c r="G120" s="11"/>
      <c r="H120" s="18">
        <f t="shared" si="12"/>
        <v>0</v>
      </c>
      <c r="I120" s="11"/>
      <c r="J120" s="11"/>
      <c r="K120" s="11"/>
      <c r="L120" s="30" t="e">
        <f t="shared" si="13"/>
        <v>#DIV/0!</v>
      </c>
      <c r="M120" s="11"/>
      <c r="N120" s="11"/>
      <c r="O120" s="18" t="e">
        <f t="shared" si="14"/>
        <v>#DIV/0!</v>
      </c>
      <c r="P120" s="11"/>
      <c r="Q120" s="18">
        <f t="shared" si="15"/>
        <v>0</v>
      </c>
      <c r="R120" s="12"/>
      <c r="S120" s="12"/>
      <c r="T120" s="18" t="e">
        <f t="shared" si="16"/>
        <v>#DIV/0!</v>
      </c>
      <c r="U120" s="11"/>
      <c r="V120" s="11"/>
      <c r="W120" s="18" t="e">
        <f t="shared" si="17"/>
        <v>#DIV/0!</v>
      </c>
    </row>
    <row r="121" spans="2:23" x14ac:dyDescent="0.3">
      <c r="B121" s="11">
        <v>116</v>
      </c>
      <c r="C121" s="11"/>
      <c r="D121" s="14"/>
      <c r="E121" s="11"/>
      <c r="F121" s="11"/>
      <c r="G121" s="11"/>
      <c r="H121" s="18">
        <f t="shared" si="12"/>
        <v>0</v>
      </c>
      <c r="I121" s="11"/>
      <c r="J121" s="11"/>
      <c r="K121" s="11"/>
      <c r="L121" s="30" t="e">
        <f t="shared" si="13"/>
        <v>#DIV/0!</v>
      </c>
      <c r="M121" s="11"/>
      <c r="N121" s="11"/>
      <c r="O121" s="18" t="e">
        <f t="shared" si="14"/>
        <v>#DIV/0!</v>
      </c>
      <c r="P121" s="11"/>
      <c r="Q121" s="18">
        <f t="shared" si="15"/>
        <v>0</v>
      </c>
      <c r="R121" s="12"/>
      <c r="S121" s="12"/>
      <c r="T121" s="18" t="e">
        <f t="shared" si="16"/>
        <v>#DIV/0!</v>
      </c>
      <c r="U121" s="11"/>
      <c r="V121" s="11"/>
      <c r="W121" s="18" t="e">
        <f t="shared" si="17"/>
        <v>#DIV/0!</v>
      </c>
    </row>
    <row r="122" spans="2:23" x14ac:dyDescent="0.3">
      <c r="B122" s="11">
        <v>117</v>
      </c>
      <c r="C122" s="11"/>
      <c r="D122" s="14"/>
      <c r="E122" s="11"/>
      <c r="F122" s="11"/>
      <c r="G122" s="11"/>
      <c r="H122" s="18">
        <f t="shared" si="12"/>
        <v>0</v>
      </c>
      <c r="I122" s="11"/>
      <c r="J122" s="11"/>
      <c r="K122" s="11"/>
      <c r="L122" s="30" t="e">
        <f t="shared" si="13"/>
        <v>#DIV/0!</v>
      </c>
      <c r="M122" s="11"/>
      <c r="N122" s="11"/>
      <c r="O122" s="18" t="e">
        <f t="shared" si="14"/>
        <v>#DIV/0!</v>
      </c>
      <c r="P122" s="11"/>
      <c r="Q122" s="18">
        <f t="shared" si="15"/>
        <v>0</v>
      </c>
      <c r="R122" s="12"/>
      <c r="S122" s="12"/>
      <c r="T122" s="18" t="e">
        <f t="shared" si="16"/>
        <v>#DIV/0!</v>
      </c>
      <c r="U122" s="11"/>
      <c r="V122" s="11"/>
      <c r="W122" s="18" t="e">
        <f t="shared" si="17"/>
        <v>#DIV/0!</v>
      </c>
    </row>
    <row r="123" spans="2:23" x14ac:dyDescent="0.3">
      <c r="B123" s="11">
        <v>118</v>
      </c>
      <c r="C123" s="11"/>
      <c r="D123" s="14"/>
      <c r="E123" s="11"/>
      <c r="F123" s="11"/>
      <c r="G123" s="11"/>
      <c r="H123" s="18">
        <f t="shared" si="12"/>
        <v>0</v>
      </c>
      <c r="I123" s="11"/>
      <c r="J123" s="11"/>
      <c r="K123" s="11"/>
      <c r="L123" s="30" t="e">
        <f t="shared" si="13"/>
        <v>#DIV/0!</v>
      </c>
      <c r="M123" s="11"/>
      <c r="N123" s="11"/>
      <c r="O123" s="18" t="e">
        <f t="shared" si="14"/>
        <v>#DIV/0!</v>
      </c>
      <c r="P123" s="11"/>
      <c r="Q123" s="18">
        <f t="shared" si="15"/>
        <v>0</v>
      </c>
      <c r="R123" s="12"/>
      <c r="S123" s="12"/>
      <c r="T123" s="18" t="e">
        <f t="shared" si="16"/>
        <v>#DIV/0!</v>
      </c>
      <c r="U123" s="11"/>
      <c r="V123" s="11"/>
      <c r="W123" s="18" t="e">
        <f t="shared" si="17"/>
        <v>#DIV/0!</v>
      </c>
    </row>
    <row r="124" spans="2:23" x14ac:dyDescent="0.3">
      <c r="B124" s="11">
        <v>119</v>
      </c>
      <c r="C124" s="11"/>
      <c r="D124" s="14"/>
      <c r="E124" s="11"/>
      <c r="F124" s="11"/>
      <c r="G124" s="11"/>
      <c r="H124" s="18">
        <f t="shared" si="12"/>
        <v>0</v>
      </c>
      <c r="I124" s="11"/>
      <c r="J124" s="11"/>
      <c r="K124" s="11"/>
      <c r="L124" s="30" t="e">
        <f t="shared" si="13"/>
        <v>#DIV/0!</v>
      </c>
      <c r="M124" s="11"/>
      <c r="N124" s="11"/>
      <c r="O124" s="18" t="e">
        <f t="shared" si="14"/>
        <v>#DIV/0!</v>
      </c>
      <c r="P124" s="11"/>
      <c r="Q124" s="18">
        <f t="shared" si="15"/>
        <v>0</v>
      </c>
      <c r="R124" s="12"/>
      <c r="S124" s="12"/>
      <c r="T124" s="18" t="e">
        <f t="shared" si="16"/>
        <v>#DIV/0!</v>
      </c>
      <c r="U124" s="11"/>
      <c r="V124" s="11"/>
      <c r="W124" s="18" t="e">
        <f t="shared" si="17"/>
        <v>#DIV/0!</v>
      </c>
    </row>
    <row r="125" spans="2:23" x14ac:dyDescent="0.3">
      <c r="B125" s="11">
        <v>120</v>
      </c>
      <c r="C125" s="11"/>
      <c r="D125" s="14"/>
      <c r="E125" s="11"/>
      <c r="F125" s="11"/>
      <c r="G125" s="11"/>
      <c r="H125" s="18">
        <f t="shared" si="12"/>
        <v>0</v>
      </c>
      <c r="I125" s="11"/>
      <c r="J125" s="11"/>
      <c r="K125" s="11"/>
      <c r="L125" s="30" t="e">
        <f t="shared" si="13"/>
        <v>#DIV/0!</v>
      </c>
      <c r="M125" s="11"/>
      <c r="N125" s="11"/>
      <c r="O125" s="18" t="e">
        <f t="shared" si="14"/>
        <v>#DIV/0!</v>
      </c>
      <c r="P125" s="11"/>
      <c r="Q125" s="18">
        <f t="shared" si="15"/>
        <v>0</v>
      </c>
      <c r="R125" s="12"/>
      <c r="S125" s="12"/>
      <c r="T125" s="18" t="e">
        <f t="shared" si="16"/>
        <v>#DIV/0!</v>
      </c>
      <c r="U125" s="11"/>
      <c r="V125" s="11"/>
      <c r="W125" s="18" t="e">
        <f t="shared" si="17"/>
        <v>#DIV/0!</v>
      </c>
    </row>
    <row r="126" spans="2:23" x14ac:dyDescent="0.3">
      <c r="B126" s="11">
        <v>121</v>
      </c>
      <c r="C126" s="11"/>
      <c r="D126" s="14"/>
      <c r="E126" s="11"/>
      <c r="F126" s="11"/>
      <c r="G126" s="11"/>
      <c r="H126" s="18">
        <f t="shared" si="12"/>
        <v>0</v>
      </c>
      <c r="I126" s="11"/>
      <c r="J126" s="11"/>
      <c r="K126" s="11"/>
      <c r="L126" s="30" t="e">
        <f t="shared" si="13"/>
        <v>#DIV/0!</v>
      </c>
      <c r="M126" s="11"/>
      <c r="N126" s="11"/>
      <c r="O126" s="18" t="e">
        <f t="shared" si="14"/>
        <v>#DIV/0!</v>
      </c>
      <c r="P126" s="11"/>
      <c r="Q126" s="18">
        <f t="shared" si="15"/>
        <v>0</v>
      </c>
      <c r="R126" s="12"/>
      <c r="S126" s="12"/>
      <c r="T126" s="18" t="e">
        <f t="shared" si="16"/>
        <v>#DIV/0!</v>
      </c>
      <c r="U126" s="11"/>
      <c r="V126" s="11"/>
      <c r="W126" s="18" t="e">
        <f t="shared" si="17"/>
        <v>#DIV/0!</v>
      </c>
    </row>
    <row r="127" spans="2:23" x14ac:dyDescent="0.3">
      <c r="B127" s="11">
        <v>122</v>
      </c>
      <c r="C127" s="11"/>
      <c r="D127" s="14"/>
      <c r="E127" s="11"/>
      <c r="F127" s="11"/>
      <c r="G127" s="11"/>
      <c r="H127" s="18">
        <f t="shared" si="12"/>
        <v>0</v>
      </c>
      <c r="I127" s="11"/>
      <c r="J127" s="11"/>
      <c r="K127" s="11"/>
      <c r="L127" s="30" t="e">
        <f t="shared" si="13"/>
        <v>#DIV/0!</v>
      </c>
      <c r="M127" s="11"/>
      <c r="N127" s="11"/>
      <c r="O127" s="18" t="e">
        <f t="shared" si="14"/>
        <v>#DIV/0!</v>
      </c>
      <c r="P127" s="11"/>
      <c r="Q127" s="18">
        <f t="shared" si="15"/>
        <v>0</v>
      </c>
      <c r="R127" s="12"/>
      <c r="S127" s="12"/>
      <c r="T127" s="18" t="e">
        <f t="shared" si="16"/>
        <v>#DIV/0!</v>
      </c>
      <c r="U127" s="11"/>
      <c r="V127" s="11"/>
      <c r="W127" s="18" t="e">
        <f t="shared" si="17"/>
        <v>#DIV/0!</v>
      </c>
    </row>
    <row r="128" spans="2:23" x14ac:dyDescent="0.3">
      <c r="B128" s="11">
        <v>123</v>
      </c>
      <c r="C128" s="11"/>
      <c r="D128" s="14"/>
      <c r="E128" s="11"/>
      <c r="F128" s="11"/>
      <c r="G128" s="11"/>
      <c r="H128" s="18">
        <f t="shared" si="12"/>
        <v>0</v>
      </c>
      <c r="I128" s="11"/>
      <c r="J128" s="11"/>
      <c r="K128" s="11"/>
      <c r="L128" s="30" t="e">
        <f t="shared" si="13"/>
        <v>#DIV/0!</v>
      </c>
      <c r="M128" s="11"/>
      <c r="N128" s="11"/>
      <c r="O128" s="18" t="e">
        <f t="shared" si="14"/>
        <v>#DIV/0!</v>
      </c>
      <c r="P128" s="11"/>
      <c r="Q128" s="18">
        <f t="shared" si="15"/>
        <v>0</v>
      </c>
      <c r="R128" s="12"/>
      <c r="S128" s="12"/>
      <c r="T128" s="18" t="e">
        <f t="shared" si="16"/>
        <v>#DIV/0!</v>
      </c>
      <c r="U128" s="11"/>
      <c r="V128" s="11"/>
      <c r="W128" s="18" t="e">
        <f t="shared" si="17"/>
        <v>#DIV/0!</v>
      </c>
    </row>
    <row r="129" spans="2:23" x14ac:dyDescent="0.3">
      <c r="B129" s="11">
        <v>124</v>
      </c>
      <c r="C129" s="11"/>
      <c r="D129" s="14"/>
      <c r="E129" s="11"/>
      <c r="F129" s="11"/>
      <c r="G129" s="11"/>
      <c r="H129" s="18">
        <f t="shared" si="12"/>
        <v>0</v>
      </c>
      <c r="I129" s="11"/>
      <c r="J129" s="11"/>
      <c r="K129" s="11"/>
      <c r="L129" s="30" t="e">
        <f t="shared" si="13"/>
        <v>#DIV/0!</v>
      </c>
      <c r="M129" s="11"/>
      <c r="N129" s="11"/>
      <c r="O129" s="18" t="e">
        <f t="shared" si="14"/>
        <v>#DIV/0!</v>
      </c>
      <c r="P129" s="11"/>
      <c r="Q129" s="18">
        <f t="shared" si="15"/>
        <v>0</v>
      </c>
      <c r="R129" s="12"/>
      <c r="S129" s="12"/>
      <c r="T129" s="18" t="e">
        <f t="shared" si="16"/>
        <v>#DIV/0!</v>
      </c>
      <c r="U129" s="11"/>
      <c r="V129" s="11"/>
      <c r="W129" s="18" t="e">
        <f t="shared" si="17"/>
        <v>#DIV/0!</v>
      </c>
    </row>
    <row r="130" spans="2:23" x14ac:dyDescent="0.3">
      <c r="B130" s="11">
        <v>125</v>
      </c>
      <c r="C130" s="11"/>
      <c r="D130" s="14"/>
      <c r="E130" s="11"/>
      <c r="F130" s="11"/>
      <c r="G130" s="11"/>
      <c r="H130" s="18">
        <f t="shared" si="12"/>
        <v>0</v>
      </c>
      <c r="I130" s="11"/>
      <c r="J130" s="11"/>
      <c r="K130" s="11"/>
      <c r="L130" s="30" t="e">
        <f t="shared" si="13"/>
        <v>#DIV/0!</v>
      </c>
      <c r="M130" s="11"/>
      <c r="N130" s="11"/>
      <c r="O130" s="18" t="e">
        <f t="shared" si="14"/>
        <v>#DIV/0!</v>
      </c>
      <c r="P130" s="11"/>
      <c r="Q130" s="18">
        <f t="shared" si="15"/>
        <v>0</v>
      </c>
      <c r="R130" s="12"/>
      <c r="S130" s="12"/>
      <c r="T130" s="18" t="e">
        <f t="shared" si="16"/>
        <v>#DIV/0!</v>
      </c>
      <c r="U130" s="11"/>
      <c r="V130" s="11"/>
      <c r="W130" s="18" t="e">
        <f t="shared" si="17"/>
        <v>#DIV/0!</v>
      </c>
    </row>
    <row r="131" spans="2:23" x14ac:dyDescent="0.3">
      <c r="B131" s="11">
        <v>126</v>
      </c>
      <c r="C131" s="11"/>
      <c r="D131" s="14"/>
      <c r="E131" s="11"/>
      <c r="F131" s="11"/>
      <c r="G131" s="11"/>
      <c r="H131" s="18">
        <f t="shared" si="12"/>
        <v>0</v>
      </c>
      <c r="I131" s="11"/>
      <c r="J131" s="11"/>
      <c r="K131" s="11"/>
      <c r="L131" s="30" t="e">
        <f t="shared" si="13"/>
        <v>#DIV/0!</v>
      </c>
      <c r="M131" s="11"/>
      <c r="N131" s="11"/>
      <c r="O131" s="18" t="e">
        <f t="shared" si="14"/>
        <v>#DIV/0!</v>
      </c>
      <c r="P131" s="11"/>
      <c r="Q131" s="18">
        <f t="shared" si="15"/>
        <v>0</v>
      </c>
      <c r="R131" s="12"/>
      <c r="S131" s="12"/>
      <c r="T131" s="18" t="e">
        <f t="shared" si="16"/>
        <v>#DIV/0!</v>
      </c>
      <c r="U131" s="11"/>
      <c r="V131" s="11"/>
      <c r="W131" s="18" t="e">
        <f t="shared" si="17"/>
        <v>#DIV/0!</v>
      </c>
    </row>
    <row r="132" spans="2:23" x14ac:dyDescent="0.3">
      <c r="B132" s="11">
        <v>127</v>
      </c>
      <c r="C132" s="11"/>
      <c r="D132" s="14"/>
      <c r="E132" s="11"/>
      <c r="F132" s="11"/>
      <c r="G132" s="11"/>
      <c r="H132" s="18">
        <f t="shared" si="12"/>
        <v>0</v>
      </c>
      <c r="I132" s="11"/>
      <c r="J132" s="11"/>
      <c r="K132" s="11"/>
      <c r="L132" s="30" t="e">
        <f t="shared" si="13"/>
        <v>#DIV/0!</v>
      </c>
      <c r="M132" s="11"/>
      <c r="N132" s="11"/>
      <c r="O132" s="18" t="e">
        <f t="shared" si="14"/>
        <v>#DIV/0!</v>
      </c>
      <c r="P132" s="11"/>
      <c r="Q132" s="18">
        <f t="shared" si="15"/>
        <v>0</v>
      </c>
      <c r="R132" s="12"/>
      <c r="S132" s="12"/>
      <c r="T132" s="18" t="e">
        <f t="shared" si="16"/>
        <v>#DIV/0!</v>
      </c>
      <c r="U132" s="11"/>
      <c r="V132" s="11"/>
      <c r="W132" s="18" t="e">
        <f t="shared" si="17"/>
        <v>#DIV/0!</v>
      </c>
    </row>
    <row r="133" spans="2:23" x14ac:dyDescent="0.3">
      <c r="B133" s="11">
        <v>128</v>
      </c>
      <c r="C133" s="11"/>
      <c r="D133" s="14"/>
      <c r="E133" s="11"/>
      <c r="F133" s="11"/>
      <c r="G133" s="11"/>
      <c r="H133" s="18">
        <f t="shared" si="12"/>
        <v>0</v>
      </c>
      <c r="I133" s="11"/>
      <c r="J133" s="11"/>
      <c r="K133" s="11"/>
      <c r="L133" s="30" t="e">
        <f t="shared" si="13"/>
        <v>#DIV/0!</v>
      </c>
      <c r="M133" s="11"/>
      <c r="N133" s="11"/>
      <c r="O133" s="18" t="e">
        <f t="shared" si="14"/>
        <v>#DIV/0!</v>
      </c>
      <c r="P133" s="11"/>
      <c r="Q133" s="18">
        <f t="shared" si="15"/>
        <v>0</v>
      </c>
      <c r="R133" s="12"/>
      <c r="S133" s="12"/>
      <c r="T133" s="18" t="e">
        <f t="shared" si="16"/>
        <v>#DIV/0!</v>
      </c>
      <c r="U133" s="11"/>
      <c r="V133" s="11"/>
      <c r="W133" s="18" t="e">
        <f t="shared" si="17"/>
        <v>#DIV/0!</v>
      </c>
    </row>
    <row r="134" spans="2:23" x14ac:dyDescent="0.3">
      <c r="B134" s="11">
        <v>129</v>
      </c>
      <c r="C134" s="11"/>
      <c r="D134" s="14"/>
      <c r="E134" s="11"/>
      <c r="F134" s="11"/>
      <c r="G134" s="11"/>
      <c r="H134" s="18">
        <f t="shared" si="12"/>
        <v>0</v>
      </c>
      <c r="I134" s="11"/>
      <c r="J134" s="11"/>
      <c r="K134" s="11"/>
      <c r="L134" s="30" t="e">
        <f t="shared" si="13"/>
        <v>#DIV/0!</v>
      </c>
      <c r="M134" s="11"/>
      <c r="N134" s="11"/>
      <c r="O134" s="18" t="e">
        <f t="shared" si="14"/>
        <v>#DIV/0!</v>
      </c>
      <c r="P134" s="11"/>
      <c r="Q134" s="18">
        <f t="shared" si="15"/>
        <v>0</v>
      </c>
      <c r="R134" s="12"/>
      <c r="S134" s="12"/>
      <c r="T134" s="18" t="e">
        <f t="shared" si="16"/>
        <v>#DIV/0!</v>
      </c>
      <c r="U134" s="11"/>
      <c r="V134" s="11"/>
      <c r="W134" s="18" t="e">
        <f t="shared" si="17"/>
        <v>#DIV/0!</v>
      </c>
    </row>
    <row r="135" spans="2:23" x14ac:dyDescent="0.3">
      <c r="B135" s="11">
        <v>130</v>
      </c>
      <c r="C135" s="11"/>
      <c r="D135" s="14"/>
      <c r="E135" s="11"/>
      <c r="F135" s="11"/>
      <c r="G135" s="11"/>
      <c r="H135" s="18">
        <f t="shared" si="12"/>
        <v>0</v>
      </c>
      <c r="I135" s="11"/>
      <c r="J135" s="11"/>
      <c r="K135" s="11"/>
      <c r="L135" s="30" t="e">
        <f t="shared" si="13"/>
        <v>#DIV/0!</v>
      </c>
      <c r="M135" s="11"/>
      <c r="N135" s="11"/>
      <c r="O135" s="18" t="e">
        <f t="shared" si="14"/>
        <v>#DIV/0!</v>
      </c>
      <c r="P135" s="11"/>
      <c r="Q135" s="18">
        <f t="shared" si="15"/>
        <v>0</v>
      </c>
      <c r="R135" s="12"/>
      <c r="S135" s="12"/>
      <c r="T135" s="18" t="e">
        <f t="shared" si="16"/>
        <v>#DIV/0!</v>
      </c>
      <c r="U135" s="11"/>
      <c r="V135" s="11"/>
      <c r="W135" s="18" t="e">
        <f t="shared" si="17"/>
        <v>#DIV/0!</v>
      </c>
    </row>
    <row r="136" spans="2:23" x14ac:dyDescent="0.3">
      <c r="B136" s="11">
        <v>131</v>
      </c>
      <c r="C136" s="11"/>
      <c r="D136" s="14"/>
      <c r="E136" s="11"/>
      <c r="F136" s="11"/>
      <c r="G136" s="11"/>
      <c r="H136" s="18">
        <f t="shared" si="12"/>
        <v>0</v>
      </c>
      <c r="I136" s="11"/>
      <c r="J136" s="11"/>
      <c r="K136" s="11"/>
      <c r="L136" s="30" t="e">
        <f t="shared" si="13"/>
        <v>#DIV/0!</v>
      </c>
      <c r="M136" s="11"/>
      <c r="N136" s="11"/>
      <c r="O136" s="18" t="e">
        <f t="shared" si="14"/>
        <v>#DIV/0!</v>
      </c>
      <c r="P136" s="11"/>
      <c r="Q136" s="18">
        <f t="shared" si="15"/>
        <v>0</v>
      </c>
      <c r="R136" s="12"/>
      <c r="S136" s="12"/>
      <c r="T136" s="18" t="e">
        <f t="shared" si="16"/>
        <v>#DIV/0!</v>
      </c>
      <c r="U136" s="11"/>
      <c r="V136" s="11"/>
      <c r="W136" s="18" t="e">
        <f t="shared" si="17"/>
        <v>#DIV/0!</v>
      </c>
    </row>
    <row r="137" spans="2:23" x14ac:dyDescent="0.3">
      <c r="B137" s="11">
        <v>132</v>
      </c>
      <c r="C137" s="11"/>
      <c r="D137" s="14"/>
      <c r="E137" s="11"/>
      <c r="F137" s="11"/>
      <c r="G137" s="11"/>
      <c r="H137" s="18">
        <f t="shared" si="12"/>
        <v>0</v>
      </c>
      <c r="I137" s="11"/>
      <c r="J137" s="11"/>
      <c r="K137" s="11"/>
      <c r="L137" s="30" t="e">
        <f t="shared" si="13"/>
        <v>#DIV/0!</v>
      </c>
      <c r="M137" s="11"/>
      <c r="N137" s="11"/>
      <c r="O137" s="18" t="e">
        <f t="shared" si="14"/>
        <v>#DIV/0!</v>
      </c>
      <c r="P137" s="11"/>
      <c r="Q137" s="18">
        <f t="shared" si="15"/>
        <v>0</v>
      </c>
      <c r="R137" s="12"/>
      <c r="S137" s="12"/>
      <c r="T137" s="18" t="e">
        <f t="shared" si="16"/>
        <v>#DIV/0!</v>
      </c>
      <c r="U137" s="11"/>
      <c r="V137" s="11"/>
      <c r="W137" s="18" t="e">
        <f t="shared" si="17"/>
        <v>#DIV/0!</v>
      </c>
    </row>
    <row r="138" spans="2:23" x14ac:dyDescent="0.3">
      <c r="B138" s="11">
        <v>133</v>
      </c>
      <c r="C138" s="11"/>
      <c r="D138" s="14"/>
      <c r="E138" s="11"/>
      <c r="F138" s="11"/>
      <c r="G138" s="11"/>
      <c r="H138" s="18">
        <f t="shared" si="12"/>
        <v>0</v>
      </c>
      <c r="I138" s="11"/>
      <c r="J138" s="11"/>
      <c r="K138" s="11"/>
      <c r="L138" s="30" t="e">
        <f t="shared" si="13"/>
        <v>#DIV/0!</v>
      </c>
      <c r="M138" s="11"/>
      <c r="N138" s="11"/>
      <c r="O138" s="18" t="e">
        <f t="shared" si="14"/>
        <v>#DIV/0!</v>
      </c>
      <c r="P138" s="11"/>
      <c r="Q138" s="18">
        <f t="shared" si="15"/>
        <v>0</v>
      </c>
      <c r="R138" s="12"/>
      <c r="S138" s="12"/>
      <c r="T138" s="18" t="e">
        <f t="shared" si="16"/>
        <v>#DIV/0!</v>
      </c>
      <c r="U138" s="11"/>
      <c r="V138" s="11"/>
      <c r="W138" s="18" t="e">
        <f t="shared" si="17"/>
        <v>#DIV/0!</v>
      </c>
    </row>
    <row r="139" spans="2:23" x14ac:dyDescent="0.3">
      <c r="B139" s="11">
        <v>134</v>
      </c>
      <c r="C139" s="11"/>
      <c r="D139" s="14"/>
      <c r="E139" s="11"/>
      <c r="F139" s="11"/>
      <c r="G139" s="11"/>
      <c r="H139" s="18">
        <f t="shared" si="12"/>
        <v>0</v>
      </c>
      <c r="I139" s="11"/>
      <c r="J139" s="11"/>
      <c r="K139" s="11"/>
      <c r="L139" s="30" t="e">
        <f t="shared" si="13"/>
        <v>#DIV/0!</v>
      </c>
      <c r="M139" s="11"/>
      <c r="N139" s="11"/>
      <c r="O139" s="18" t="e">
        <f t="shared" si="14"/>
        <v>#DIV/0!</v>
      </c>
      <c r="P139" s="11"/>
      <c r="Q139" s="18">
        <f t="shared" si="15"/>
        <v>0</v>
      </c>
      <c r="R139" s="12"/>
      <c r="S139" s="12"/>
      <c r="T139" s="18" t="e">
        <f t="shared" si="16"/>
        <v>#DIV/0!</v>
      </c>
      <c r="U139" s="11"/>
      <c r="V139" s="11"/>
      <c r="W139" s="18" t="e">
        <f t="shared" si="17"/>
        <v>#DIV/0!</v>
      </c>
    </row>
    <row r="140" spans="2:23" x14ac:dyDescent="0.3">
      <c r="B140" s="11">
        <v>135</v>
      </c>
      <c r="C140" s="11"/>
      <c r="D140" s="14"/>
      <c r="E140" s="11"/>
      <c r="F140" s="11"/>
      <c r="G140" s="11"/>
      <c r="H140" s="18">
        <f t="shared" si="12"/>
        <v>0</v>
      </c>
      <c r="I140" s="11"/>
      <c r="J140" s="11"/>
      <c r="K140" s="11"/>
      <c r="L140" s="30" t="e">
        <f t="shared" si="13"/>
        <v>#DIV/0!</v>
      </c>
      <c r="M140" s="11"/>
      <c r="N140" s="11"/>
      <c r="O140" s="18" t="e">
        <f t="shared" si="14"/>
        <v>#DIV/0!</v>
      </c>
      <c r="P140" s="11"/>
      <c r="Q140" s="18">
        <f t="shared" si="15"/>
        <v>0</v>
      </c>
      <c r="R140" s="12"/>
      <c r="S140" s="12"/>
      <c r="T140" s="18" t="e">
        <f t="shared" si="16"/>
        <v>#DIV/0!</v>
      </c>
      <c r="U140" s="11"/>
      <c r="V140" s="11"/>
      <c r="W140" s="18" t="e">
        <f t="shared" si="17"/>
        <v>#DIV/0!</v>
      </c>
    </row>
    <row r="141" spans="2:23" x14ac:dyDescent="0.3">
      <c r="B141" s="11">
        <v>136</v>
      </c>
      <c r="C141" s="11"/>
      <c r="D141" s="14"/>
      <c r="E141" s="11"/>
      <c r="F141" s="11"/>
      <c r="G141" s="11"/>
      <c r="H141" s="18">
        <f t="shared" si="12"/>
        <v>0</v>
      </c>
      <c r="I141" s="11"/>
      <c r="J141" s="11"/>
      <c r="K141" s="11"/>
      <c r="L141" s="30" t="e">
        <f t="shared" si="13"/>
        <v>#DIV/0!</v>
      </c>
      <c r="M141" s="11"/>
      <c r="N141" s="11"/>
      <c r="O141" s="18" t="e">
        <f t="shared" si="14"/>
        <v>#DIV/0!</v>
      </c>
      <c r="P141" s="11"/>
      <c r="Q141" s="18">
        <f t="shared" si="15"/>
        <v>0</v>
      </c>
      <c r="R141" s="12"/>
      <c r="S141" s="12"/>
      <c r="T141" s="18" t="e">
        <f t="shared" si="16"/>
        <v>#DIV/0!</v>
      </c>
      <c r="U141" s="11"/>
      <c r="V141" s="11"/>
      <c r="W141" s="18" t="e">
        <f t="shared" si="17"/>
        <v>#DIV/0!</v>
      </c>
    </row>
    <row r="142" spans="2:23" x14ac:dyDescent="0.3">
      <c r="B142" s="11">
        <v>137</v>
      </c>
      <c r="C142" s="11"/>
      <c r="D142" s="14"/>
      <c r="E142" s="11"/>
      <c r="F142" s="11"/>
      <c r="G142" s="11"/>
      <c r="H142" s="18">
        <f t="shared" si="12"/>
        <v>0</v>
      </c>
      <c r="I142" s="11"/>
      <c r="J142" s="11"/>
      <c r="K142" s="11"/>
      <c r="L142" s="30" t="e">
        <f t="shared" si="13"/>
        <v>#DIV/0!</v>
      </c>
      <c r="M142" s="11"/>
      <c r="N142" s="11"/>
      <c r="O142" s="18" t="e">
        <f t="shared" si="14"/>
        <v>#DIV/0!</v>
      </c>
      <c r="P142" s="11"/>
      <c r="Q142" s="18">
        <f t="shared" si="15"/>
        <v>0</v>
      </c>
      <c r="R142" s="12"/>
      <c r="S142" s="12"/>
      <c r="T142" s="18" t="e">
        <f t="shared" si="16"/>
        <v>#DIV/0!</v>
      </c>
      <c r="U142" s="11"/>
      <c r="V142" s="11"/>
      <c r="W142" s="18" t="e">
        <f t="shared" si="17"/>
        <v>#DIV/0!</v>
      </c>
    </row>
    <row r="143" spans="2:23" x14ac:dyDescent="0.3">
      <c r="B143" s="11">
        <v>138</v>
      </c>
      <c r="C143" s="11"/>
      <c r="D143" s="14"/>
      <c r="E143" s="11"/>
      <c r="F143" s="11"/>
      <c r="G143" s="11"/>
      <c r="H143" s="18">
        <f t="shared" si="12"/>
        <v>0</v>
      </c>
      <c r="I143" s="11"/>
      <c r="J143" s="11"/>
      <c r="K143" s="11"/>
      <c r="L143" s="30" t="e">
        <f t="shared" si="13"/>
        <v>#DIV/0!</v>
      </c>
      <c r="M143" s="11"/>
      <c r="N143" s="11"/>
      <c r="O143" s="18" t="e">
        <f t="shared" si="14"/>
        <v>#DIV/0!</v>
      </c>
      <c r="P143" s="11"/>
      <c r="Q143" s="18">
        <f t="shared" si="15"/>
        <v>0</v>
      </c>
      <c r="R143" s="12"/>
      <c r="S143" s="12"/>
      <c r="T143" s="18" t="e">
        <f t="shared" si="16"/>
        <v>#DIV/0!</v>
      </c>
      <c r="U143" s="11"/>
      <c r="V143" s="11"/>
      <c r="W143" s="18" t="e">
        <f t="shared" si="17"/>
        <v>#DIV/0!</v>
      </c>
    </row>
    <row r="144" spans="2:23" x14ac:dyDescent="0.3">
      <c r="B144" s="11">
        <v>139</v>
      </c>
      <c r="C144" s="11"/>
      <c r="D144" s="14"/>
      <c r="E144" s="11"/>
      <c r="F144" s="11"/>
      <c r="G144" s="11"/>
      <c r="H144" s="18">
        <f t="shared" si="12"/>
        <v>0</v>
      </c>
      <c r="I144" s="11"/>
      <c r="J144" s="11"/>
      <c r="K144" s="11"/>
      <c r="L144" s="30" t="e">
        <f t="shared" si="13"/>
        <v>#DIV/0!</v>
      </c>
      <c r="M144" s="11"/>
      <c r="N144" s="11"/>
      <c r="O144" s="18" t="e">
        <f t="shared" si="14"/>
        <v>#DIV/0!</v>
      </c>
      <c r="P144" s="11"/>
      <c r="Q144" s="18">
        <f t="shared" si="15"/>
        <v>0</v>
      </c>
      <c r="R144" s="12"/>
      <c r="S144" s="12"/>
      <c r="T144" s="18" t="e">
        <f t="shared" si="16"/>
        <v>#DIV/0!</v>
      </c>
      <c r="U144" s="11"/>
      <c r="V144" s="11"/>
      <c r="W144" s="18" t="e">
        <f t="shared" si="17"/>
        <v>#DIV/0!</v>
      </c>
    </row>
    <row r="145" spans="2:23" x14ac:dyDescent="0.3">
      <c r="B145" s="11">
        <v>140</v>
      </c>
      <c r="C145" s="11"/>
      <c r="D145" s="14"/>
      <c r="E145" s="11"/>
      <c r="F145" s="11"/>
      <c r="G145" s="11"/>
      <c r="H145" s="18">
        <f t="shared" si="12"/>
        <v>0</v>
      </c>
      <c r="I145" s="11"/>
      <c r="J145" s="11"/>
      <c r="K145" s="11"/>
      <c r="L145" s="30" t="e">
        <f t="shared" si="13"/>
        <v>#DIV/0!</v>
      </c>
      <c r="M145" s="11"/>
      <c r="N145" s="11"/>
      <c r="O145" s="18" t="e">
        <f t="shared" si="14"/>
        <v>#DIV/0!</v>
      </c>
      <c r="P145" s="11"/>
      <c r="Q145" s="18">
        <f t="shared" si="15"/>
        <v>0</v>
      </c>
      <c r="R145" s="12"/>
      <c r="S145" s="12"/>
      <c r="T145" s="18" t="e">
        <f t="shared" si="16"/>
        <v>#DIV/0!</v>
      </c>
      <c r="U145" s="11"/>
      <c r="V145" s="11"/>
      <c r="W145" s="18" t="e">
        <f t="shared" si="17"/>
        <v>#DIV/0!</v>
      </c>
    </row>
    <row r="146" spans="2:23" x14ac:dyDescent="0.3">
      <c r="B146" s="11">
        <v>141</v>
      </c>
      <c r="C146" s="11"/>
      <c r="D146" s="14"/>
      <c r="E146" s="11"/>
      <c r="F146" s="11"/>
      <c r="G146" s="11"/>
      <c r="H146" s="18">
        <f t="shared" si="12"/>
        <v>0</v>
      </c>
      <c r="I146" s="11"/>
      <c r="J146" s="11"/>
      <c r="K146" s="11"/>
      <c r="L146" s="30" t="e">
        <f t="shared" si="13"/>
        <v>#DIV/0!</v>
      </c>
      <c r="M146" s="11"/>
      <c r="N146" s="11"/>
      <c r="O146" s="18" t="e">
        <f t="shared" si="14"/>
        <v>#DIV/0!</v>
      </c>
      <c r="P146" s="11"/>
      <c r="Q146" s="18">
        <f t="shared" si="15"/>
        <v>0</v>
      </c>
      <c r="R146" s="12"/>
      <c r="S146" s="12"/>
      <c r="T146" s="18" t="e">
        <f t="shared" si="16"/>
        <v>#DIV/0!</v>
      </c>
      <c r="U146" s="11"/>
      <c r="V146" s="11"/>
      <c r="W146" s="18" t="e">
        <f t="shared" si="17"/>
        <v>#DIV/0!</v>
      </c>
    </row>
    <row r="147" spans="2:23" x14ac:dyDescent="0.3">
      <c r="B147" s="11">
        <v>142</v>
      </c>
      <c r="C147" s="11"/>
      <c r="D147" s="14"/>
      <c r="E147" s="11"/>
      <c r="F147" s="11"/>
      <c r="G147" s="11"/>
      <c r="H147" s="18">
        <f t="shared" si="12"/>
        <v>0</v>
      </c>
      <c r="I147" s="11"/>
      <c r="J147" s="11"/>
      <c r="K147" s="11"/>
      <c r="L147" s="30" t="e">
        <f t="shared" si="13"/>
        <v>#DIV/0!</v>
      </c>
      <c r="M147" s="11"/>
      <c r="N147" s="11"/>
      <c r="O147" s="18" t="e">
        <f t="shared" si="14"/>
        <v>#DIV/0!</v>
      </c>
      <c r="P147" s="11"/>
      <c r="Q147" s="18">
        <f t="shared" si="15"/>
        <v>0</v>
      </c>
      <c r="R147" s="12"/>
      <c r="S147" s="12"/>
      <c r="T147" s="18" t="e">
        <f t="shared" si="16"/>
        <v>#DIV/0!</v>
      </c>
      <c r="U147" s="11"/>
      <c r="V147" s="11"/>
      <c r="W147" s="18" t="e">
        <f t="shared" si="17"/>
        <v>#DIV/0!</v>
      </c>
    </row>
    <row r="148" spans="2:23" x14ac:dyDescent="0.3">
      <c r="B148" s="11">
        <v>143</v>
      </c>
      <c r="C148" s="11"/>
      <c r="D148" s="14"/>
      <c r="E148" s="11"/>
      <c r="F148" s="11"/>
      <c r="G148" s="11"/>
      <c r="H148" s="18">
        <f t="shared" si="12"/>
        <v>0</v>
      </c>
      <c r="I148" s="11"/>
      <c r="J148" s="11"/>
      <c r="K148" s="11"/>
      <c r="L148" s="30" t="e">
        <f t="shared" si="13"/>
        <v>#DIV/0!</v>
      </c>
      <c r="M148" s="11"/>
      <c r="N148" s="11"/>
      <c r="O148" s="18" t="e">
        <f t="shared" si="14"/>
        <v>#DIV/0!</v>
      </c>
      <c r="P148" s="11"/>
      <c r="Q148" s="18">
        <f t="shared" si="15"/>
        <v>0</v>
      </c>
      <c r="R148" s="12"/>
      <c r="S148" s="12"/>
      <c r="T148" s="18" t="e">
        <f t="shared" si="16"/>
        <v>#DIV/0!</v>
      </c>
      <c r="U148" s="11"/>
      <c r="V148" s="11"/>
      <c r="W148" s="18" t="e">
        <f t="shared" si="17"/>
        <v>#DIV/0!</v>
      </c>
    </row>
    <row r="149" spans="2:23" x14ac:dyDescent="0.3">
      <c r="B149" s="11">
        <v>144</v>
      </c>
      <c r="C149" s="11"/>
      <c r="D149" s="14"/>
      <c r="E149" s="11"/>
      <c r="F149" s="11"/>
      <c r="G149" s="11"/>
      <c r="H149" s="18">
        <f t="shared" si="12"/>
        <v>0</v>
      </c>
      <c r="I149" s="11"/>
      <c r="J149" s="11"/>
      <c r="K149" s="11"/>
      <c r="L149" s="30" t="e">
        <f t="shared" si="13"/>
        <v>#DIV/0!</v>
      </c>
      <c r="M149" s="11"/>
      <c r="N149" s="11"/>
      <c r="O149" s="18" t="e">
        <f t="shared" si="14"/>
        <v>#DIV/0!</v>
      </c>
      <c r="P149" s="11"/>
      <c r="Q149" s="18">
        <f t="shared" si="15"/>
        <v>0</v>
      </c>
      <c r="R149" s="12"/>
      <c r="S149" s="12"/>
      <c r="T149" s="18" t="e">
        <f t="shared" si="16"/>
        <v>#DIV/0!</v>
      </c>
      <c r="U149" s="11"/>
      <c r="V149" s="11"/>
      <c r="W149" s="18" t="e">
        <f t="shared" si="17"/>
        <v>#DIV/0!</v>
      </c>
    </row>
    <row r="150" spans="2:23" x14ac:dyDescent="0.3">
      <c r="B150" s="11">
        <v>145</v>
      </c>
      <c r="C150" s="11"/>
      <c r="D150" s="14"/>
      <c r="E150" s="11"/>
      <c r="F150" s="11"/>
      <c r="G150" s="11"/>
      <c r="H150" s="18">
        <f t="shared" si="12"/>
        <v>0</v>
      </c>
      <c r="I150" s="11"/>
      <c r="J150" s="11"/>
      <c r="K150" s="11"/>
      <c r="L150" s="30" t="e">
        <f t="shared" si="13"/>
        <v>#DIV/0!</v>
      </c>
      <c r="M150" s="11"/>
      <c r="N150" s="11"/>
      <c r="O150" s="18" t="e">
        <f t="shared" si="14"/>
        <v>#DIV/0!</v>
      </c>
      <c r="P150" s="11"/>
      <c r="Q150" s="18">
        <f t="shared" si="15"/>
        <v>0</v>
      </c>
      <c r="R150" s="12"/>
      <c r="S150" s="12"/>
      <c r="T150" s="18" t="e">
        <f t="shared" si="16"/>
        <v>#DIV/0!</v>
      </c>
      <c r="U150" s="11"/>
      <c r="V150" s="11"/>
      <c r="W150" s="18" t="e">
        <f t="shared" si="17"/>
        <v>#DIV/0!</v>
      </c>
    </row>
    <row r="151" spans="2:23" x14ac:dyDescent="0.3">
      <c r="B151" s="11">
        <v>146</v>
      </c>
      <c r="C151" s="11"/>
      <c r="D151" s="14"/>
      <c r="E151" s="11"/>
      <c r="F151" s="11"/>
      <c r="G151" s="11"/>
      <c r="H151" s="18">
        <f t="shared" si="12"/>
        <v>0</v>
      </c>
      <c r="I151" s="11"/>
      <c r="J151" s="11"/>
      <c r="K151" s="11"/>
      <c r="L151" s="30" t="e">
        <f t="shared" si="13"/>
        <v>#DIV/0!</v>
      </c>
      <c r="M151" s="11"/>
      <c r="N151" s="11"/>
      <c r="O151" s="18" t="e">
        <f t="shared" si="14"/>
        <v>#DIV/0!</v>
      </c>
      <c r="P151" s="11"/>
      <c r="Q151" s="18">
        <f t="shared" si="15"/>
        <v>0</v>
      </c>
      <c r="R151" s="12"/>
      <c r="S151" s="12"/>
      <c r="T151" s="18" t="e">
        <f t="shared" si="16"/>
        <v>#DIV/0!</v>
      </c>
      <c r="U151" s="11"/>
      <c r="V151" s="11"/>
      <c r="W151" s="18" t="e">
        <f t="shared" si="17"/>
        <v>#DIV/0!</v>
      </c>
    </row>
    <row r="152" spans="2:23" x14ac:dyDescent="0.3">
      <c r="B152" s="11">
        <v>147</v>
      </c>
      <c r="C152" s="11"/>
      <c r="D152" s="14"/>
      <c r="E152" s="11"/>
      <c r="F152" s="11"/>
      <c r="G152" s="11"/>
      <c r="H152" s="18">
        <f t="shared" si="12"/>
        <v>0</v>
      </c>
      <c r="I152" s="11"/>
      <c r="J152" s="11"/>
      <c r="K152" s="11"/>
      <c r="L152" s="30" t="e">
        <f t="shared" si="13"/>
        <v>#DIV/0!</v>
      </c>
      <c r="M152" s="11"/>
      <c r="N152" s="11"/>
      <c r="O152" s="18" t="e">
        <f t="shared" si="14"/>
        <v>#DIV/0!</v>
      </c>
      <c r="P152" s="11"/>
      <c r="Q152" s="18">
        <f t="shared" si="15"/>
        <v>0</v>
      </c>
      <c r="R152" s="12"/>
      <c r="S152" s="12"/>
      <c r="T152" s="18" t="e">
        <f t="shared" si="16"/>
        <v>#DIV/0!</v>
      </c>
      <c r="U152" s="11"/>
      <c r="V152" s="11"/>
      <c r="W152" s="18" t="e">
        <f t="shared" si="17"/>
        <v>#DIV/0!</v>
      </c>
    </row>
    <row r="153" spans="2:23" x14ac:dyDescent="0.3">
      <c r="B153" s="11">
        <v>148</v>
      </c>
      <c r="C153" s="11"/>
      <c r="D153" s="14"/>
      <c r="E153" s="11"/>
      <c r="F153" s="11"/>
      <c r="G153" s="11"/>
      <c r="H153" s="18">
        <f t="shared" si="12"/>
        <v>0</v>
      </c>
      <c r="I153" s="11"/>
      <c r="J153" s="11"/>
      <c r="K153" s="11"/>
      <c r="L153" s="30" t="e">
        <f t="shared" si="13"/>
        <v>#DIV/0!</v>
      </c>
      <c r="M153" s="11"/>
      <c r="N153" s="11"/>
      <c r="O153" s="18" t="e">
        <f t="shared" si="14"/>
        <v>#DIV/0!</v>
      </c>
      <c r="P153" s="11"/>
      <c r="Q153" s="18">
        <f t="shared" si="15"/>
        <v>0</v>
      </c>
      <c r="R153" s="12"/>
      <c r="S153" s="12"/>
      <c r="T153" s="18" t="e">
        <f t="shared" si="16"/>
        <v>#DIV/0!</v>
      </c>
      <c r="U153" s="11"/>
      <c r="V153" s="11"/>
      <c r="W153" s="18" t="e">
        <f t="shared" si="17"/>
        <v>#DIV/0!</v>
      </c>
    </row>
    <row r="154" spans="2:23" x14ac:dyDescent="0.3">
      <c r="B154" s="11">
        <v>149</v>
      </c>
      <c r="C154" s="11"/>
      <c r="D154" s="14"/>
      <c r="E154" s="11"/>
      <c r="F154" s="11"/>
      <c r="G154" s="11"/>
      <c r="H154" s="18">
        <f t="shared" ref="H154:H217" si="18">G154</f>
        <v>0</v>
      </c>
      <c r="I154" s="11"/>
      <c r="J154" s="11"/>
      <c r="K154" s="11"/>
      <c r="L154" s="30" t="e">
        <f t="shared" ref="L154:L217" si="19">AVERAGE(J154:K154)</f>
        <v>#DIV/0!</v>
      </c>
      <c r="M154" s="11"/>
      <c r="N154" s="11"/>
      <c r="O154" s="18" t="e">
        <f t="shared" ref="O154:O217" si="20">AVERAGE(M154:N154)</f>
        <v>#DIV/0!</v>
      </c>
      <c r="P154" s="11"/>
      <c r="Q154" s="18">
        <f t="shared" ref="Q154:Q217" si="21">P154</f>
        <v>0</v>
      </c>
      <c r="R154" s="12"/>
      <c r="S154" s="12"/>
      <c r="T154" s="18" t="e">
        <f t="shared" ref="T154:T217" si="22">AVERAGE(R154:S154)</f>
        <v>#DIV/0!</v>
      </c>
      <c r="U154" s="11"/>
      <c r="V154" s="11"/>
      <c r="W154" s="18" t="e">
        <f t="shared" ref="W154:W217" si="23">AVERAGE(U154:V154)</f>
        <v>#DIV/0!</v>
      </c>
    </row>
    <row r="155" spans="2:23" x14ac:dyDescent="0.3">
      <c r="B155" s="11">
        <v>150</v>
      </c>
      <c r="C155" s="11"/>
      <c r="D155" s="14"/>
      <c r="E155" s="11"/>
      <c r="F155" s="11"/>
      <c r="G155" s="11"/>
      <c r="H155" s="18">
        <f t="shared" si="18"/>
        <v>0</v>
      </c>
      <c r="I155" s="11"/>
      <c r="J155" s="11"/>
      <c r="K155" s="11"/>
      <c r="L155" s="30" t="e">
        <f t="shared" si="19"/>
        <v>#DIV/0!</v>
      </c>
      <c r="M155" s="11"/>
      <c r="N155" s="11"/>
      <c r="O155" s="18" t="e">
        <f t="shared" si="20"/>
        <v>#DIV/0!</v>
      </c>
      <c r="P155" s="11"/>
      <c r="Q155" s="18">
        <f t="shared" si="21"/>
        <v>0</v>
      </c>
      <c r="R155" s="12"/>
      <c r="S155" s="12"/>
      <c r="T155" s="18" t="e">
        <f t="shared" si="22"/>
        <v>#DIV/0!</v>
      </c>
      <c r="U155" s="11"/>
      <c r="V155" s="11"/>
      <c r="W155" s="18" t="e">
        <f t="shared" si="23"/>
        <v>#DIV/0!</v>
      </c>
    </row>
    <row r="156" spans="2:23" x14ac:dyDescent="0.3">
      <c r="B156" s="11">
        <v>151</v>
      </c>
      <c r="C156" s="11"/>
      <c r="D156" s="14"/>
      <c r="E156" s="11"/>
      <c r="F156" s="11"/>
      <c r="G156" s="11"/>
      <c r="H156" s="18">
        <f t="shared" si="18"/>
        <v>0</v>
      </c>
      <c r="I156" s="11"/>
      <c r="J156" s="11"/>
      <c r="K156" s="11"/>
      <c r="L156" s="30" t="e">
        <f t="shared" si="19"/>
        <v>#DIV/0!</v>
      </c>
      <c r="M156" s="11"/>
      <c r="N156" s="11"/>
      <c r="O156" s="18" t="e">
        <f t="shared" si="20"/>
        <v>#DIV/0!</v>
      </c>
      <c r="P156" s="11"/>
      <c r="Q156" s="18">
        <f t="shared" si="21"/>
        <v>0</v>
      </c>
      <c r="R156" s="12"/>
      <c r="S156" s="12"/>
      <c r="T156" s="18" t="e">
        <f t="shared" si="22"/>
        <v>#DIV/0!</v>
      </c>
      <c r="U156" s="11"/>
      <c r="V156" s="11"/>
      <c r="W156" s="18" t="e">
        <f t="shared" si="23"/>
        <v>#DIV/0!</v>
      </c>
    </row>
    <row r="157" spans="2:23" x14ac:dyDescent="0.3">
      <c r="B157" s="11">
        <v>152</v>
      </c>
      <c r="C157" s="11"/>
      <c r="D157" s="14"/>
      <c r="E157" s="11"/>
      <c r="F157" s="11"/>
      <c r="G157" s="11"/>
      <c r="H157" s="18">
        <f t="shared" si="18"/>
        <v>0</v>
      </c>
      <c r="I157" s="11"/>
      <c r="J157" s="11"/>
      <c r="K157" s="11"/>
      <c r="L157" s="30" t="e">
        <f t="shared" si="19"/>
        <v>#DIV/0!</v>
      </c>
      <c r="M157" s="11"/>
      <c r="N157" s="11"/>
      <c r="O157" s="18" t="e">
        <f t="shared" si="20"/>
        <v>#DIV/0!</v>
      </c>
      <c r="P157" s="11"/>
      <c r="Q157" s="18">
        <f t="shared" si="21"/>
        <v>0</v>
      </c>
      <c r="R157" s="12"/>
      <c r="S157" s="12"/>
      <c r="T157" s="18" t="e">
        <f t="shared" si="22"/>
        <v>#DIV/0!</v>
      </c>
      <c r="U157" s="11"/>
      <c r="V157" s="11"/>
      <c r="W157" s="18" t="e">
        <f t="shared" si="23"/>
        <v>#DIV/0!</v>
      </c>
    </row>
    <row r="158" spans="2:23" x14ac:dyDescent="0.3">
      <c r="B158" s="11">
        <v>153</v>
      </c>
      <c r="C158" s="11"/>
      <c r="D158" s="14"/>
      <c r="E158" s="11"/>
      <c r="F158" s="11"/>
      <c r="G158" s="11"/>
      <c r="H158" s="18">
        <f t="shared" si="18"/>
        <v>0</v>
      </c>
      <c r="I158" s="11"/>
      <c r="J158" s="11"/>
      <c r="K158" s="11"/>
      <c r="L158" s="30" t="e">
        <f t="shared" si="19"/>
        <v>#DIV/0!</v>
      </c>
      <c r="M158" s="11"/>
      <c r="N158" s="11"/>
      <c r="O158" s="18" t="e">
        <f t="shared" si="20"/>
        <v>#DIV/0!</v>
      </c>
      <c r="P158" s="11"/>
      <c r="Q158" s="18">
        <f t="shared" si="21"/>
        <v>0</v>
      </c>
      <c r="R158" s="12"/>
      <c r="S158" s="12"/>
      <c r="T158" s="18" t="e">
        <f t="shared" si="22"/>
        <v>#DIV/0!</v>
      </c>
      <c r="U158" s="11"/>
      <c r="V158" s="11"/>
      <c r="W158" s="18" t="e">
        <f t="shared" si="23"/>
        <v>#DIV/0!</v>
      </c>
    </row>
    <row r="159" spans="2:23" x14ac:dyDescent="0.3">
      <c r="B159" s="11">
        <v>154</v>
      </c>
      <c r="C159" s="11"/>
      <c r="D159" s="14"/>
      <c r="E159" s="11"/>
      <c r="F159" s="11"/>
      <c r="G159" s="11"/>
      <c r="H159" s="18">
        <f t="shared" si="18"/>
        <v>0</v>
      </c>
      <c r="I159" s="11"/>
      <c r="J159" s="11"/>
      <c r="K159" s="11"/>
      <c r="L159" s="30" t="e">
        <f t="shared" si="19"/>
        <v>#DIV/0!</v>
      </c>
      <c r="M159" s="11"/>
      <c r="N159" s="11"/>
      <c r="O159" s="18" t="e">
        <f t="shared" si="20"/>
        <v>#DIV/0!</v>
      </c>
      <c r="P159" s="11"/>
      <c r="Q159" s="18">
        <f t="shared" si="21"/>
        <v>0</v>
      </c>
      <c r="R159" s="12"/>
      <c r="S159" s="12"/>
      <c r="T159" s="18" t="e">
        <f t="shared" si="22"/>
        <v>#DIV/0!</v>
      </c>
      <c r="U159" s="11"/>
      <c r="V159" s="11"/>
      <c r="W159" s="18" t="e">
        <f t="shared" si="23"/>
        <v>#DIV/0!</v>
      </c>
    </row>
    <row r="160" spans="2:23" x14ac:dyDescent="0.3">
      <c r="B160" s="11">
        <v>155</v>
      </c>
      <c r="C160" s="11"/>
      <c r="D160" s="14"/>
      <c r="E160" s="11"/>
      <c r="F160" s="11"/>
      <c r="G160" s="11"/>
      <c r="H160" s="18">
        <f t="shared" si="18"/>
        <v>0</v>
      </c>
      <c r="I160" s="11"/>
      <c r="J160" s="11"/>
      <c r="K160" s="11"/>
      <c r="L160" s="30" t="e">
        <f t="shared" si="19"/>
        <v>#DIV/0!</v>
      </c>
      <c r="M160" s="11"/>
      <c r="N160" s="11"/>
      <c r="O160" s="18" t="e">
        <f t="shared" si="20"/>
        <v>#DIV/0!</v>
      </c>
      <c r="P160" s="11"/>
      <c r="Q160" s="18">
        <f t="shared" si="21"/>
        <v>0</v>
      </c>
      <c r="R160" s="12"/>
      <c r="S160" s="12"/>
      <c r="T160" s="18" t="e">
        <f t="shared" si="22"/>
        <v>#DIV/0!</v>
      </c>
      <c r="U160" s="11"/>
      <c r="V160" s="11"/>
      <c r="W160" s="18" t="e">
        <f t="shared" si="23"/>
        <v>#DIV/0!</v>
      </c>
    </row>
    <row r="161" spans="2:23" x14ac:dyDescent="0.3">
      <c r="B161" s="11">
        <v>156</v>
      </c>
      <c r="C161" s="11"/>
      <c r="D161" s="14"/>
      <c r="E161" s="11"/>
      <c r="F161" s="11"/>
      <c r="G161" s="11"/>
      <c r="H161" s="18">
        <f t="shared" si="18"/>
        <v>0</v>
      </c>
      <c r="I161" s="11"/>
      <c r="J161" s="11"/>
      <c r="K161" s="11"/>
      <c r="L161" s="30" t="e">
        <f t="shared" si="19"/>
        <v>#DIV/0!</v>
      </c>
      <c r="M161" s="11"/>
      <c r="N161" s="11"/>
      <c r="O161" s="18" t="e">
        <f t="shared" si="20"/>
        <v>#DIV/0!</v>
      </c>
      <c r="P161" s="11"/>
      <c r="Q161" s="18">
        <f t="shared" si="21"/>
        <v>0</v>
      </c>
      <c r="R161" s="12"/>
      <c r="S161" s="12"/>
      <c r="T161" s="18" t="e">
        <f t="shared" si="22"/>
        <v>#DIV/0!</v>
      </c>
      <c r="U161" s="11"/>
      <c r="V161" s="11"/>
      <c r="W161" s="18" t="e">
        <f t="shared" si="23"/>
        <v>#DIV/0!</v>
      </c>
    </row>
    <row r="162" spans="2:23" x14ac:dyDescent="0.3">
      <c r="B162" s="11">
        <v>157</v>
      </c>
      <c r="C162" s="11"/>
      <c r="D162" s="14"/>
      <c r="E162" s="11"/>
      <c r="F162" s="11"/>
      <c r="G162" s="11"/>
      <c r="H162" s="18">
        <f t="shared" si="18"/>
        <v>0</v>
      </c>
      <c r="I162" s="11"/>
      <c r="J162" s="11"/>
      <c r="K162" s="11"/>
      <c r="L162" s="30" t="e">
        <f t="shared" si="19"/>
        <v>#DIV/0!</v>
      </c>
      <c r="M162" s="11"/>
      <c r="N162" s="11"/>
      <c r="O162" s="18" t="e">
        <f t="shared" si="20"/>
        <v>#DIV/0!</v>
      </c>
      <c r="P162" s="11"/>
      <c r="Q162" s="18">
        <f t="shared" si="21"/>
        <v>0</v>
      </c>
      <c r="R162" s="12"/>
      <c r="S162" s="12"/>
      <c r="T162" s="18" t="e">
        <f t="shared" si="22"/>
        <v>#DIV/0!</v>
      </c>
      <c r="U162" s="11"/>
      <c r="V162" s="11"/>
      <c r="W162" s="18" t="e">
        <f t="shared" si="23"/>
        <v>#DIV/0!</v>
      </c>
    </row>
    <row r="163" spans="2:23" x14ac:dyDescent="0.3">
      <c r="B163" s="11">
        <v>158</v>
      </c>
      <c r="C163" s="11"/>
      <c r="D163" s="14"/>
      <c r="E163" s="11"/>
      <c r="F163" s="11"/>
      <c r="G163" s="11"/>
      <c r="H163" s="18">
        <f t="shared" si="18"/>
        <v>0</v>
      </c>
      <c r="I163" s="11"/>
      <c r="J163" s="11"/>
      <c r="K163" s="11"/>
      <c r="L163" s="30" t="e">
        <f t="shared" si="19"/>
        <v>#DIV/0!</v>
      </c>
      <c r="M163" s="11"/>
      <c r="N163" s="11"/>
      <c r="O163" s="18" t="e">
        <f t="shared" si="20"/>
        <v>#DIV/0!</v>
      </c>
      <c r="P163" s="11"/>
      <c r="Q163" s="18">
        <f t="shared" si="21"/>
        <v>0</v>
      </c>
      <c r="R163" s="12"/>
      <c r="S163" s="12"/>
      <c r="T163" s="18" t="e">
        <f t="shared" si="22"/>
        <v>#DIV/0!</v>
      </c>
      <c r="U163" s="11"/>
      <c r="V163" s="11"/>
      <c r="W163" s="18" t="e">
        <f t="shared" si="23"/>
        <v>#DIV/0!</v>
      </c>
    </row>
    <row r="164" spans="2:23" x14ac:dyDescent="0.3">
      <c r="B164" s="11">
        <v>159</v>
      </c>
      <c r="C164" s="11"/>
      <c r="D164" s="14"/>
      <c r="E164" s="11"/>
      <c r="F164" s="11"/>
      <c r="G164" s="11"/>
      <c r="H164" s="18">
        <f t="shared" si="18"/>
        <v>0</v>
      </c>
      <c r="I164" s="11"/>
      <c r="J164" s="11"/>
      <c r="K164" s="11"/>
      <c r="L164" s="30" t="e">
        <f t="shared" si="19"/>
        <v>#DIV/0!</v>
      </c>
      <c r="M164" s="11"/>
      <c r="N164" s="11"/>
      <c r="O164" s="18" t="e">
        <f t="shared" si="20"/>
        <v>#DIV/0!</v>
      </c>
      <c r="P164" s="11"/>
      <c r="Q164" s="18">
        <f t="shared" si="21"/>
        <v>0</v>
      </c>
      <c r="R164" s="12"/>
      <c r="S164" s="12"/>
      <c r="T164" s="18" t="e">
        <f t="shared" si="22"/>
        <v>#DIV/0!</v>
      </c>
      <c r="U164" s="11"/>
      <c r="V164" s="11"/>
      <c r="W164" s="18" t="e">
        <f t="shared" si="23"/>
        <v>#DIV/0!</v>
      </c>
    </row>
    <row r="165" spans="2:23" x14ac:dyDescent="0.3">
      <c r="B165" s="11">
        <v>160</v>
      </c>
      <c r="C165" s="11"/>
      <c r="D165" s="14"/>
      <c r="E165" s="11"/>
      <c r="F165" s="11"/>
      <c r="G165" s="11"/>
      <c r="H165" s="18">
        <f t="shared" si="18"/>
        <v>0</v>
      </c>
      <c r="I165" s="11"/>
      <c r="J165" s="11"/>
      <c r="K165" s="11"/>
      <c r="L165" s="30" t="e">
        <f t="shared" si="19"/>
        <v>#DIV/0!</v>
      </c>
      <c r="M165" s="11"/>
      <c r="N165" s="11"/>
      <c r="O165" s="18" t="e">
        <f t="shared" si="20"/>
        <v>#DIV/0!</v>
      </c>
      <c r="P165" s="11"/>
      <c r="Q165" s="18">
        <f t="shared" si="21"/>
        <v>0</v>
      </c>
      <c r="R165" s="12"/>
      <c r="S165" s="12"/>
      <c r="T165" s="18" t="e">
        <f t="shared" si="22"/>
        <v>#DIV/0!</v>
      </c>
      <c r="U165" s="11"/>
      <c r="V165" s="11"/>
      <c r="W165" s="18" t="e">
        <f t="shared" si="23"/>
        <v>#DIV/0!</v>
      </c>
    </row>
    <row r="166" spans="2:23" x14ac:dyDescent="0.3">
      <c r="B166" s="11">
        <v>161</v>
      </c>
      <c r="C166" s="11"/>
      <c r="D166" s="14"/>
      <c r="E166" s="11"/>
      <c r="F166" s="11"/>
      <c r="G166" s="11"/>
      <c r="H166" s="18">
        <f t="shared" si="18"/>
        <v>0</v>
      </c>
      <c r="I166" s="11"/>
      <c r="J166" s="11"/>
      <c r="K166" s="11"/>
      <c r="L166" s="30" t="e">
        <f t="shared" si="19"/>
        <v>#DIV/0!</v>
      </c>
      <c r="M166" s="11"/>
      <c r="N166" s="11"/>
      <c r="O166" s="18" t="e">
        <f t="shared" si="20"/>
        <v>#DIV/0!</v>
      </c>
      <c r="P166" s="11"/>
      <c r="Q166" s="18">
        <f t="shared" si="21"/>
        <v>0</v>
      </c>
      <c r="R166" s="12"/>
      <c r="S166" s="12"/>
      <c r="T166" s="18" t="e">
        <f t="shared" si="22"/>
        <v>#DIV/0!</v>
      </c>
      <c r="U166" s="11"/>
      <c r="V166" s="11"/>
      <c r="W166" s="18" t="e">
        <f t="shared" si="23"/>
        <v>#DIV/0!</v>
      </c>
    </row>
    <row r="167" spans="2:23" x14ac:dyDescent="0.3">
      <c r="B167" s="11">
        <v>162</v>
      </c>
      <c r="C167" s="11"/>
      <c r="D167" s="14"/>
      <c r="E167" s="11"/>
      <c r="F167" s="11"/>
      <c r="G167" s="11"/>
      <c r="H167" s="18">
        <f t="shared" si="18"/>
        <v>0</v>
      </c>
      <c r="I167" s="11"/>
      <c r="J167" s="11"/>
      <c r="K167" s="11"/>
      <c r="L167" s="30" t="e">
        <f t="shared" si="19"/>
        <v>#DIV/0!</v>
      </c>
      <c r="M167" s="11"/>
      <c r="N167" s="11"/>
      <c r="O167" s="18" t="e">
        <f t="shared" si="20"/>
        <v>#DIV/0!</v>
      </c>
      <c r="P167" s="11"/>
      <c r="Q167" s="18">
        <f t="shared" si="21"/>
        <v>0</v>
      </c>
      <c r="R167" s="12"/>
      <c r="S167" s="12"/>
      <c r="T167" s="18" t="e">
        <f t="shared" si="22"/>
        <v>#DIV/0!</v>
      </c>
      <c r="U167" s="11"/>
      <c r="V167" s="11"/>
      <c r="W167" s="18" t="e">
        <f t="shared" si="23"/>
        <v>#DIV/0!</v>
      </c>
    </row>
    <row r="168" spans="2:23" x14ac:dyDescent="0.3">
      <c r="B168" s="11">
        <v>163</v>
      </c>
      <c r="C168" s="11"/>
      <c r="D168" s="14"/>
      <c r="E168" s="11"/>
      <c r="F168" s="11"/>
      <c r="G168" s="11"/>
      <c r="H168" s="18">
        <f t="shared" si="18"/>
        <v>0</v>
      </c>
      <c r="I168" s="11"/>
      <c r="J168" s="11"/>
      <c r="K168" s="11"/>
      <c r="L168" s="30" t="e">
        <f t="shared" si="19"/>
        <v>#DIV/0!</v>
      </c>
      <c r="M168" s="11"/>
      <c r="N168" s="11"/>
      <c r="O168" s="18" t="e">
        <f t="shared" si="20"/>
        <v>#DIV/0!</v>
      </c>
      <c r="P168" s="11"/>
      <c r="Q168" s="18">
        <f t="shared" si="21"/>
        <v>0</v>
      </c>
      <c r="R168" s="12"/>
      <c r="S168" s="12"/>
      <c r="T168" s="18" t="e">
        <f t="shared" si="22"/>
        <v>#DIV/0!</v>
      </c>
      <c r="U168" s="11"/>
      <c r="V168" s="11"/>
      <c r="W168" s="18" t="e">
        <f t="shared" si="23"/>
        <v>#DIV/0!</v>
      </c>
    </row>
    <row r="169" spans="2:23" x14ac:dyDescent="0.3">
      <c r="B169" s="11">
        <v>164</v>
      </c>
      <c r="C169" s="11"/>
      <c r="D169" s="14"/>
      <c r="E169" s="11"/>
      <c r="F169" s="11"/>
      <c r="G169" s="11"/>
      <c r="H169" s="18">
        <f t="shared" si="18"/>
        <v>0</v>
      </c>
      <c r="I169" s="11"/>
      <c r="J169" s="11"/>
      <c r="K169" s="11"/>
      <c r="L169" s="30" t="e">
        <f t="shared" si="19"/>
        <v>#DIV/0!</v>
      </c>
      <c r="M169" s="11"/>
      <c r="N169" s="11"/>
      <c r="O169" s="18" t="e">
        <f t="shared" si="20"/>
        <v>#DIV/0!</v>
      </c>
      <c r="P169" s="11"/>
      <c r="Q169" s="18">
        <f t="shared" si="21"/>
        <v>0</v>
      </c>
      <c r="R169" s="12"/>
      <c r="S169" s="12"/>
      <c r="T169" s="18" t="e">
        <f t="shared" si="22"/>
        <v>#DIV/0!</v>
      </c>
      <c r="U169" s="11"/>
      <c r="V169" s="11"/>
      <c r="W169" s="18" t="e">
        <f t="shared" si="23"/>
        <v>#DIV/0!</v>
      </c>
    </row>
    <row r="170" spans="2:23" x14ac:dyDescent="0.3">
      <c r="B170" s="11">
        <v>165</v>
      </c>
      <c r="C170" s="11"/>
      <c r="D170" s="14"/>
      <c r="E170" s="11"/>
      <c r="F170" s="11"/>
      <c r="G170" s="11"/>
      <c r="H170" s="18">
        <f t="shared" si="18"/>
        <v>0</v>
      </c>
      <c r="I170" s="11"/>
      <c r="J170" s="11"/>
      <c r="K170" s="11"/>
      <c r="L170" s="30" t="e">
        <f t="shared" si="19"/>
        <v>#DIV/0!</v>
      </c>
      <c r="M170" s="11"/>
      <c r="N170" s="11"/>
      <c r="O170" s="18" t="e">
        <f t="shared" si="20"/>
        <v>#DIV/0!</v>
      </c>
      <c r="P170" s="11"/>
      <c r="Q170" s="18">
        <f t="shared" si="21"/>
        <v>0</v>
      </c>
      <c r="R170" s="12"/>
      <c r="S170" s="12"/>
      <c r="T170" s="18" t="e">
        <f t="shared" si="22"/>
        <v>#DIV/0!</v>
      </c>
      <c r="U170" s="11"/>
      <c r="V170" s="11"/>
      <c r="W170" s="18" t="e">
        <f t="shared" si="23"/>
        <v>#DIV/0!</v>
      </c>
    </row>
    <row r="171" spans="2:23" x14ac:dyDescent="0.3">
      <c r="B171" s="11">
        <v>166</v>
      </c>
      <c r="C171" s="11"/>
      <c r="D171" s="14"/>
      <c r="E171" s="11"/>
      <c r="F171" s="11"/>
      <c r="G171" s="11"/>
      <c r="H171" s="18">
        <f t="shared" si="18"/>
        <v>0</v>
      </c>
      <c r="I171" s="11"/>
      <c r="J171" s="11"/>
      <c r="K171" s="11"/>
      <c r="L171" s="30" t="e">
        <f t="shared" si="19"/>
        <v>#DIV/0!</v>
      </c>
      <c r="M171" s="11"/>
      <c r="N171" s="11"/>
      <c r="O171" s="18" t="e">
        <f t="shared" si="20"/>
        <v>#DIV/0!</v>
      </c>
      <c r="P171" s="11"/>
      <c r="Q171" s="18">
        <f t="shared" si="21"/>
        <v>0</v>
      </c>
      <c r="R171" s="12"/>
      <c r="S171" s="12"/>
      <c r="T171" s="18" t="e">
        <f t="shared" si="22"/>
        <v>#DIV/0!</v>
      </c>
      <c r="U171" s="11"/>
      <c r="V171" s="11"/>
      <c r="W171" s="18" t="e">
        <f t="shared" si="23"/>
        <v>#DIV/0!</v>
      </c>
    </row>
    <row r="172" spans="2:23" x14ac:dyDescent="0.3">
      <c r="B172" s="11">
        <v>167</v>
      </c>
      <c r="C172" s="11"/>
      <c r="D172" s="14"/>
      <c r="E172" s="11"/>
      <c r="F172" s="11"/>
      <c r="G172" s="11"/>
      <c r="H172" s="18">
        <f t="shared" si="18"/>
        <v>0</v>
      </c>
      <c r="I172" s="11"/>
      <c r="J172" s="11"/>
      <c r="K172" s="11"/>
      <c r="L172" s="30" t="e">
        <f t="shared" si="19"/>
        <v>#DIV/0!</v>
      </c>
      <c r="M172" s="11"/>
      <c r="N172" s="11"/>
      <c r="O172" s="18" t="e">
        <f t="shared" si="20"/>
        <v>#DIV/0!</v>
      </c>
      <c r="P172" s="11"/>
      <c r="Q172" s="18">
        <f t="shared" si="21"/>
        <v>0</v>
      </c>
      <c r="R172" s="12"/>
      <c r="S172" s="12"/>
      <c r="T172" s="18" t="e">
        <f t="shared" si="22"/>
        <v>#DIV/0!</v>
      </c>
      <c r="U172" s="11"/>
      <c r="V172" s="11"/>
      <c r="W172" s="18" t="e">
        <f t="shared" si="23"/>
        <v>#DIV/0!</v>
      </c>
    </row>
    <row r="173" spans="2:23" x14ac:dyDescent="0.3">
      <c r="B173" s="11">
        <v>168</v>
      </c>
      <c r="C173" s="11"/>
      <c r="D173" s="14"/>
      <c r="E173" s="11"/>
      <c r="F173" s="11"/>
      <c r="G173" s="11"/>
      <c r="H173" s="18">
        <f t="shared" si="18"/>
        <v>0</v>
      </c>
      <c r="I173" s="11"/>
      <c r="J173" s="11"/>
      <c r="K173" s="11"/>
      <c r="L173" s="30" t="e">
        <f t="shared" si="19"/>
        <v>#DIV/0!</v>
      </c>
      <c r="M173" s="11"/>
      <c r="N173" s="11"/>
      <c r="O173" s="18" t="e">
        <f t="shared" si="20"/>
        <v>#DIV/0!</v>
      </c>
      <c r="P173" s="11"/>
      <c r="Q173" s="18">
        <f t="shared" si="21"/>
        <v>0</v>
      </c>
      <c r="R173" s="12"/>
      <c r="S173" s="12"/>
      <c r="T173" s="18" t="e">
        <f t="shared" si="22"/>
        <v>#DIV/0!</v>
      </c>
      <c r="U173" s="11"/>
      <c r="V173" s="11"/>
      <c r="W173" s="18" t="e">
        <f t="shared" si="23"/>
        <v>#DIV/0!</v>
      </c>
    </row>
    <row r="174" spans="2:23" x14ac:dyDescent="0.3">
      <c r="B174" s="11">
        <v>169</v>
      </c>
      <c r="C174" s="11"/>
      <c r="D174" s="14"/>
      <c r="E174" s="11"/>
      <c r="F174" s="11"/>
      <c r="G174" s="11"/>
      <c r="H174" s="18">
        <f t="shared" si="18"/>
        <v>0</v>
      </c>
      <c r="I174" s="11"/>
      <c r="J174" s="11"/>
      <c r="K174" s="11"/>
      <c r="L174" s="30" t="e">
        <f t="shared" si="19"/>
        <v>#DIV/0!</v>
      </c>
      <c r="M174" s="11"/>
      <c r="N174" s="11"/>
      <c r="O174" s="18" t="e">
        <f t="shared" si="20"/>
        <v>#DIV/0!</v>
      </c>
      <c r="P174" s="11"/>
      <c r="Q174" s="18">
        <f t="shared" si="21"/>
        <v>0</v>
      </c>
      <c r="R174" s="12"/>
      <c r="S174" s="12"/>
      <c r="T174" s="18" t="e">
        <f t="shared" si="22"/>
        <v>#DIV/0!</v>
      </c>
      <c r="U174" s="11"/>
      <c r="V174" s="11"/>
      <c r="W174" s="18" t="e">
        <f t="shared" si="23"/>
        <v>#DIV/0!</v>
      </c>
    </row>
    <row r="175" spans="2:23" x14ac:dyDescent="0.3">
      <c r="B175" s="11">
        <v>170</v>
      </c>
      <c r="C175" s="11"/>
      <c r="D175" s="14"/>
      <c r="E175" s="11"/>
      <c r="F175" s="11"/>
      <c r="G175" s="11"/>
      <c r="H175" s="18">
        <f t="shared" si="18"/>
        <v>0</v>
      </c>
      <c r="I175" s="11"/>
      <c r="J175" s="11"/>
      <c r="K175" s="11"/>
      <c r="L175" s="30" t="e">
        <f t="shared" si="19"/>
        <v>#DIV/0!</v>
      </c>
      <c r="M175" s="11"/>
      <c r="N175" s="11"/>
      <c r="O175" s="18" t="e">
        <f t="shared" si="20"/>
        <v>#DIV/0!</v>
      </c>
      <c r="P175" s="11"/>
      <c r="Q175" s="18">
        <f t="shared" si="21"/>
        <v>0</v>
      </c>
      <c r="R175" s="12"/>
      <c r="S175" s="12"/>
      <c r="T175" s="18" t="e">
        <f t="shared" si="22"/>
        <v>#DIV/0!</v>
      </c>
      <c r="U175" s="11"/>
      <c r="V175" s="11"/>
      <c r="W175" s="18" t="e">
        <f t="shared" si="23"/>
        <v>#DIV/0!</v>
      </c>
    </row>
    <row r="176" spans="2:23" x14ac:dyDescent="0.3">
      <c r="B176" s="11">
        <v>171</v>
      </c>
      <c r="C176" s="11"/>
      <c r="D176" s="14"/>
      <c r="E176" s="11"/>
      <c r="F176" s="11"/>
      <c r="G176" s="11"/>
      <c r="H176" s="18">
        <f t="shared" si="18"/>
        <v>0</v>
      </c>
      <c r="I176" s="11"/>
      <c r="J176" s="11"/>
      <c r="K176" s="11"/>
      <c r="L176" s="30" t="e">
        <f t="shared" si="19"/>
        <v>#DIV/0!</v>
      </c>
      <c r="M176" s="11"/>
      <c r="N176" s="11"/>
      <c r="O176" s="18" t="e">
        <f t="shared" si="20"/>
        <v>#DIV/0!</v>
      </c>
      <c r="P176" s="11"/>
      <c r="Q176" s="18">
        <f t="shared" si="21"/>
        <v>0</v>
      </c>
      <c r="R176" s="12"/>
      <c r="S176" s="12"/>
      <c r="T176" s="18" t="e">
        <f t="shared" si="22"/>
        <v>#DIV/0!</v>
      </c>
      <c r="U176" s="11"/>
      <c r="V176" s="11"/>
      <c r="W176" s="18" t="e">
        <f t="shared" si="23"/>
        <v>#DIV/0!</v>
      </c>
    </row>
    <row r="177" spans="2:23" x14ac:dyDescent="0.3">
      <c r="B177" s="11">
        <v>172</v>
      </c>
      <c r="C177" s="11"/>
      <c r="D177" s="14"/>
      <c r="E177" s="11"/>
      <c r="F177" s="11"/>
      <c r="G177" s="11"/>
      <c r="H177" s="18">
        <f t="shared" si="18"/>
        <v>0</v>
      </c>
      <c r="I177" s="11"/>
      <c r="J177" s="11"/>
      <c r="K177" s="11"/>
      <c r="L177" s="30" t="e">
        <f t="shared" si="19"/>
        <v>#DIV/0!</v>
      </c>
      <c r="M177" s="11"/>
      <c r="N177" s="11"/>
      <c r="O177" s="18" t="e">
        <f t="shared" si="20"/>
        <v>#DIV/0!</v>
      </c>
      <c r="P177" s="11"/>
      <c r="Q177" s="18">
        <f t="shared" si="21"/>
        <v>0</v>
      </c>
      <c r="R177" s="12"/>
      <c r="S177" s="12"/>
      <c r="T177" s="18" t="e">
        <f t="shared" si="22"/>
        <v>#DIV/0!</v>
      </c>
      <c r="U177" s="11"/>
      <c r="V177" s="11"/>
      <c r="W177" s="18" t="e">
        <f t="shared" si="23"/>
        <v>#DIV/0!</v>
      </c>
    </row>
    <row r="178" spans="2:23" x14ac:dyDescent="0.3">
      <c r="B178" s="11">
        <v>173</v>
      </c>
      <c r="C178" s="11"/>
      <c r="D178" s="14"/>
      <c r="E178" s="11"/>
      <c r="F178" s="11"/>
      <c r="G178" s="11"/>
      <c r="H178" s="18">
        <f t="shared" si="18"/>
        <v>0</v>
      </c>
      <c r="I178" s="11"/>
      <c r="J178" s="11"/>
      <c r="K178" s="11"/>
      <c r="L178" s="30" t="e">
        <f t="shared" si="19"/>
        <v>#DIV/0!</v>
      </c>
      <c r="M178" s="11"/>
      <c r="N178" s="11"/>
      <c r="O178" s="18" t="e">
        <f t="shared" si="20"/>
        <v>#DIV/0!</v>
      </c>
      <c r="P178" s="11"/>
      <c r="Q178" s="18">
        <f t="shared" si="21"/>
        <v>0</v>
      </c>
      <c r="R178" s="12"/>
      <c r="S178" s="12"/>
      <c r="T178" s="18" t="e">
        <f t="shared" si="22"/>
        <v>#DIV/0!</v>
      </c>
      <c r="U178" s="11"/>
      <c r="V178" s="11"/>
      <c r="W178" s="18" t="e">
        <f t="shared" si="23"/>
        <v>#DIV/0!</v>
      </c>
    </row>
    <row r="179" spans="2:23" x14ac:dyDescent="0.3">
      <c r="B179" s="11">
        <v>174</v>
      </c>
      <c r="C179" s="11"/>
      <c r="D179" s="14"/>
      <c r="E179" s="11"/>
      <c r="F179" s="11"/>
      <c r="G179" s="11"/>
      <c r="H179" s="18">
        <f t="shared" si="18"/>
        <v>0</v>
      </c>
      <c r="I179" s="11"/>
      <c r="J179" s="11"/>
      <c r="K179" s="11"/>
      <c r="L179" s="30" t="e">
        <f t="shared" si="19"/>
        <v>#DIV/0!</v>
      </c>
      <c r="M179" s="11"/>
      <c r="N179" s="11"/>
      <c r="O179" s="18" t="e">
        <f t="shared" si="20"/>
        <v>#DIV/0!</v>
      </c>
      <c r="P179" s="11"/>
      <c r="Q179" s="18">
        <f t="shared" si="21"/>
        <v>0</v>
      </c>
      <c r="R179" s="12"/>
      <c r="S179" s="12"/>
      <c r="T179" s="18" t="e">
        <f t="shared" si="22"/>
        <v>#DIV/0!</v>
      </c>
      <c r="U179" s="11"/>
      <c r="V179" s="11"/>
      <c r="W179" s="18" t="e">
        <f t="shared" si="23"/>
        <v>#DIV/0!</v>
      </c>
    </row>
    <row r="180" spans="2:23" x14ac:dyDescent="0.3">
      <c r="B180" s="11">
        <v>175</v>
      </c>
      <c r="C180" s="11"/>
      <c r="D180" s="14"/>
      <c r="E180" s="11"/>
      <c r="F180" s="11"/>
      <c r="G180" s="11"/>
      <c r="H180" s="18">
        <f t="shared" si="18"/>
        <v>0</v>
      </c>
      <c r="I180" s="11"/>
      <c r="J180" s="11"/>
      <c r="K180" s="11"/>
      <c r="L180" s="30" t="e">
        <f t="shared" si="19"/>
        <v>#DIV/0!</v>
      </c>
      <c r="M180" s="11"/>
      <c r="N180" s="11"/>
      <c r="O180" s="18" t="e">
        <f t="shared" si="20"/>
        <v>#DIV/0!</v>
      </c>
      <c r="P180" s="11"/>
      <c r="Q180" s="18">
        <f t="shared" si="21"/>
        <v>0</v>
      </c>
      <c r="R180" s="12"/>
      <c r="S180" s="12"/>
      <c r="T180" s="18" t="e">
        <f t="shared" si="22"/>
        <v>#DIV/0!</v>
      </c>
      <c r="U180" s="11"/>
      <c r="V180" s="11"/>
      <c r="W180" s="18" t="e">
        <f t="shared" si="23"/>
        <v>#DIV/0!</v>
      </c>
    </row>
    <row r="181" spans="2:23" x14ac:dyDescent="0.3">
      <c r="B181" s="11">
        <v>176</v>
      </c>
      <c r="C181" s="11"/>
      <c r="D181" s="14"/>
      <c r="E181" s="11"/>
      <c r="F181" s="11"/>
      <c r="G181" s="11"/>
      <c r="H181" s="18">
        <f t="shared" si="18"/>
        <v>0</v>
      </c>
      <c r="I181" s="11"/>
      <c r="J181" s="11"/>
      <c r="K181" s="11"/>
      <c r="L181" s="30" t="e">
        <f t="shared" si="19"/>
        <v>#DIV/0!</v>
      </c>
      <c r="M181" s="11"/>
      <c r="N181" s="11"/>
      <c r="O181" s="18" t="e">
        <f t="shared" si="20"/>
        <v>#DIV/0!</v>
      </c>
      <c r="P181" s="11"/>
      <c r="Q181" s="18">
        <f t="shared" si="21"/>
        <v>0</v>
      </c>
      <c r="R181" s="12"/>
      <c r="S181" s="12"/>
      <c r="T181" s="18" t="e">
        <f t="shared" si="22"/>
        <v>#DIV/0!</v>
      </c>
      <c r="U181" s="11"/>
      <c r="V181" s="11"/>
      <c r="W181" s="18" t="e">
        <f t="shared" si="23"/>
        <v>#DIV/0!</v>
      </c>
    </row>
    <row r="182" spans="2:23" x14ac:dyDescent="0.3">
      <c r="B182" s="11">
        <v>177</v>
      </c>
      <c r="C182" s="11"/>
      <c r="D182" s="14"/>
      <c r="E182" s="11"/>
      <c r="F182" s="11"/>
      <c r="G182" s="11"/>
      <c r="H182" s="18">
        <f t="shared" si="18"/>
        <v>0</v>
      </c>
      <c r="I182" s="11"/>
      <c r="J182" s="11"/>
      <c r="K182" s="11"/>
      <c r="L182" s="30" t="e">
        <f t="shared" si="19"/>
        <v>#DIV/0!</v>
      </c>
      <c r="M182" s="11"/>
      <c r="N182" s="11"/>
      <c r="O182" s="18" t="e">
        <f t="shared" si="20"/>
        <v>#DIV/0!</v>
      </c>
      <c r="P182" s="11"/>
      <c r="Q182" s="18">
        <f t="shared" si="21"/>
        <v>0</v>
      </c>
      <c r="R182" s="12"/>
      <c r="S182" s="12"/>
      <c r="T182" s="18" t="e">
        <f t="shared" si="22"/>
        <v>#DIV/0!</v>
      </c>
      <c r="U182" s="11"/>
      <c r="V182" s="11"/>
      <c r="W182" s="18" t="e">
        <f t="shared" si="23"/>
        <v>#DIV/0!</v>
      </c>
    </row>
    <row r="183" spans="2:23" x14ac:dyDescent="0.3">
      <c r="B183" s="11">
        <v>178</v>
      </c>
      <c r="C183" s="11"/>
      <c r="D183" s="14"/>
      <c r="E183" s="11"/>
      <c r="F183" s="11"/>
      <c r="G183" s="11"/>
      <c r="H183" s="18">
        <f t="shared" si="18"/>
        <v>0</v>
      </c>
      <c r="I183" s="11"/>
      <c r="J183" s="11"/>
      <c r="K183" s="11"/>
      <c r="L183" s="30" t="e">
        <f t="shared" si="19"/>
        <v>#DIV/0!</v>
      </c>
      <c r="M183" s="11"/>
      <c r="N183" s="11"/>
      <c r="O183" s="18" t="e">
        <f t="shared" si="20"/>
        <v>#DIV/0!</v>
      </c>
      <c r="P183" s="11"/>
      <c r="Q183" s="18">
        <f t="shared" si="21"/>
        <v>0</v>
      </c>
      <c r="R183" s="12"/>
      <c r="S183" s="12"/>
      <c r="T183" s="18" t="e">
        <f t="shared" si="22"/>
        <v>#DIV/0!</v>
      </c>
      <c r="U183" s="11"/>
      <c r="V183" s="11"/>
      <c r="W183" s="18" t="e">
        <f t="shared" si="23"/>
        <v>#DIV/0!</v>
      </c>
    </row>
    <row r="184" spans="2:23" x14ac:dyDescent="0.3">
      <c r="B184" s="11">
        <v>179</v>
      </c>
      <c r="C184" s="11"/>
      <c r="D184" s="14"/>
      <c r="E184" s="11"/>
      <c r="F184" s="11"/>
      <c r="G184" s="11"/>
      <c r="H184" s="18">
        <f t="shared" si="18"/>
        <v>0</v>
      </c>
      <c r="I184" s="11"/>
      <c r="J184" s="11"/>
      <c r="K184" s="11"/>
      <c r="L184" s="30" t="e">
        <f t="shared" si="19"/>
        <v>#DIV/0!</v>
      </c>
      <c r="M184" s="11"/>
      <c r="N184" s="11"/>
      <c r="O184" s="18" t="e">
        <f t="shared" si="20"/>
        <v>#DIV/0!</v>
      </c>
      <c r="P184" s="11"/>
      <c r="Q184" s="18">
        <f t="shared" si="21"/>
        <v>0</v>
      </c>
      <c r="R184" s="12"/>
      <c r="S184" s="12"/>
      <c r="T184" s="18" t="e">
        <f t="shared" si="22"/>
        <v>#DIV/0!</v>
      </c>
      <c r="U184" s="11"/>
      <c r="V184" s="11"/>
      <c r="W184" s="18" t="e">
        <f t="shared" si="23"/>
        <v>#DIV/0!</v>
      </c>
    </row>
    <row r="185" spans="2:23" x14ac:dyDescent="0.3">
      <c r="B185" s="11">
        <v>180</v>
      </c>
      <c r="C185" s="11"/>
      <c r="D185" s="14"/>
      <c r="E185" s="11"/>
      <c r="F185" s="11"/>
      <c r="G185" s="11"/>
      <c r="H185" s="18">
        <f t="shared" si="18"/>
        <v>0</v>
      </c>
      <c r="I185" s="11"/>
      <c r="J185" s="11"/>
      <c r="K185" s="11"/>
      <c r="L185" s="30" t="e">
        <f t="shared" si="19"/>
        <v>#DIV/0!</v>
      </c>
      <c r="M185" s="11"/>
      <c r="N185" s="11"/>
      <c r="O185" s="18" t="e">
        <f t="shared" si="20"/>
        <v>#DIV/0!</v>
      </c>
      <c r="P185" s="11"/>
      <c r="Q185" s="18">
        <f t="shared" si="21"/>
        <v>0</v>
      </c>
      <c r="R185" s="12"/>
      <c r="S185" s="12"/>
      <c r="T185" s="18" t="e">
        <f t="shared" si="22"/>
        <v>#DIV/0!</v>
      </c>
      <c r="U185" s="11"/>
      <c r="V185" s="11"/>
      <c r="W185" s="18" t="e">
        <f t="shared" si="23"/>
        <v>#DIV/0!</v>
      </c>
    </row>
    <row r="186" spans="2:23" x14ac:dyDescent="0.3">
      <c r="B186" s="11">
        <v>181</v>
      </c>
      <c r="C186" s="11"/>
      <c r="D186" s="14"/>
      <c r="E186" s="11"/>
      <c r="F186" s="11"/>
      <c r="G186" s="11"/>
      <c r="H186" s="18">
        <f t="shared" si="18"/>
        <v>0</v>
      </c>
      <c r="I186" s="11"/>
      <c r="J186" s="11"/>
      <c r="K186" s="11"/>
      <c r="L186" s="30" t="e">
        <f t="shared" si="19"/>
        <v>#DIV/0!</v>
      </c>
      <c r="M186" s="11"/>
      <c r="N186" s="11"/>
      <c r="O186" s="18" t="e">
        <f t="shared" si="20"/>
        <v>#DIV/0!</v>
      </c>
      <c r="P186" s="11"/>
      <c r="Q186" s="18">
        <f t="shared" si="21"/>
        <v>0</v>
      </c>
      <c r="R186" s="12"/>
      <c r="S186" s="12"/>
      <c r="T186" s="18" t="e">
        <f t="shared" si="22"/>
        <v>#DIV/0!</v>
      </c>
      <c r="U186" s="11"/>
      <c r="V186" s="11"/>
      <c r="W186" s="18" t="e">
        <f t="shared" si="23"/>
        <v>#DIV/0!</v>
      </c>
    </row>
    <row r="187" spans="2:23" x14ac:dyDescent="0.3">
      <c r="B187" s="11">
        <v>182</v>
      </c>
      <c r="C187" s="11"/>
      <c r="D187" s="14"/>
      <c r="E187" s="11"/>
      <c r="F187" s="11"/>
      <c r="G187" s="11"/>
      <c r="H187" s="18">
        <f t="shared" si="18"/>
        <v>0</v>
      </c>
      <c r="I187" s="11"/>
      <c r="J187" s="11"/>
      <c r="K187" s="11"/>
      <c r="L187" s="30" t="e">
        <f t="shared" si="19"/>
        <v>#DIV/0!</v>
      </c>
      <c r="M187" s="11"/>
      <c r="N187" s="11"/>
      <c r="O187" s="18" t="e">
        <f t="shared" si="20"/>
        <v>#DIV/0!</v>
      </c>
      <c r="P187" s="11"/>
      <c r="Q187" s="18">
        <f t="shared" si="21"/>
        <v>0</v>
      </c>
      <c r="R187" s="12"/>
      <c r="S187" s="12"/>
      <c r="T187" s="18" t="e">
        <f t="shared" si="22"/>
        <v>#DIV/0!</v>
      </c>
      <c r="U187" s="11"/>
      <c r="V187" s="11"/>
      <c r="W187" s="18" t="e">
        <f t="shared" si="23"/>
        <v>#DIV/0!</v>
      </c>
    </row>
    <row r="188" spans="2:23" x14ac:dyDescent="0.3">
      <c r="B188" s="11">
        <v>183</v>
      </c>
      <c r="C188" s="11"/>
      <c r="D188" s="14"/>
      <c r="E188" s="11"/>
      <c r="F188" s="11"/>
      <c r="G188" s="11"/>
      <c r="H188" s="18">
        <f t="shared" si="18"/>
        <v>0</v>
      </c>
      <c r="I188" s="11"/>
      <c r="J188" s="11"/>
      <c r="K188" s="11"/>
      <c r="L188" s="30" t="e">
        <f t="shared" si="19"/>
        <v>#DIV/0!</v>
      </c>
      <c r="M188" s="11"/>
      <c r="N188" s="11"/>
      <c r="O188" s="18" t="e">
        <f t="shared" si="20"/>
        <v>#DIV/0!</v>
      </c>
      <c r="P188" s="11"/>
      <c r="Q188" s="18">
        <f t="shared" si="21"/>
        <v>0</v>
      </c>
      <c r="R188" s="12"/>
      <c r="S188" s="12"/>
      <c r="T188" s="18" t="e">
        <f t="shared" si="22"/>
        <v>#DIV/0!</v>
      </c>
      <c r="U188" s="11"/>
      <c r="V188" s="11"/>
      <c r="W188" s="18" t="e">
        <f t="shared" si="23"/>
        <v>#DIV/0!</v>
      </c>
    </row>
    <row r="189" spans="2:23" x14ac:dyDescent="0.3">
      <c r="B189" s="11">
        <v>184</v>
      </c>
      <c r="C189" s="11"/>
      <c r="D189" s="14"/>
      <c r="E189" s="11"/>
      <c r="F189" s="11"/>
      <c r="G189" s="11"/>
      <c r="H189" s="18">
        <f t="shared" si="18"/>
        <v>0</v>
      </c>
      <c r="I189" s="11"/>
      <c r="J189" s="11"/>
      <c r="K189" s="11"/>
      <c r="L189" s="30" t="e">
        <f t="shared" si="19"/>
        <v>#DIV/0!</v>
      </c>
      <c r="M189" s="11"/>
      <c r="N189" s="11"/>
      <c r="O189" s="18" t="e">
        <f t="shared" si="20"/>
        <v>#DIV/0!</v>
      </c>
      <c r="P189" s="11"/>
      <c r="Q189" s="18">
        <f t="shared" si="21"/>
        <v>0</v>
      </c>
      <c r="R189" s="12"/>
      <c r="S189" s="12"/>
      <c r="T189" s="18" t="e">
        <f t="shared" si="22"/>
        <v>#DIV/0!</v>
      </c>
      <c r="U189" s="11"/>
      <c r="V189" s="11"/>
      <c r="W189" s="18" t="e">
        <f t="shared" si="23"/>
        <v>#DIV/0!</v>
      </c>
    </row>
    <row r="190" spans="2:23" x14ac:dyDescent="0.3">
      <c r="B190" s="11">
        <v>185</v>
      </c>
      <c r="C190" s="11"/>
      <c r="D190" s="14"/>
      <c r="E190" s="11"/>
      <c r="F190" s="11"/>
      <c r="G190" s="11"/>
      <c r="H190" s="18">
        <f t="shared" si="18"/>
        <v>0</v>
      </c>
      <c r="I190" s="11"/>
      <c r="J190" s="11"/>
      <c r="K190" s="11"/>
      <c r="L190" s="30" t="e">
        <f t="shared" si="19"/>
        <v>#DIV/0!</v>
      </c>
      <c r="M190" s="11"/>
      <c r="N190" s="11"/>
      <c r="O190" s="18" t="e">
        <f t="shared" si="20"/>
        <v>#DIV/0!</v>
      </c>
      <c r="P190" s="11"/>
      <c r="Q190" s="18">
        <f t="shared" si="21"/>
        <v>0</v>
      </c>
      <c r="R190" s="12"/>
      <c r="S190" s="12"/>
      <c r="T190" s="18" t="e">
        <f t="shared" si="22"/>
        <v>#DIV/0!</v>
      </c>
      <c r="U190" s="11"/>
      <c r="V190" s="11"/>
      <c r="W190" s="18" t="e">
        <f t="shared" si="23"/>
        <v>#DIV/0!</v>
      </c>
    </row>
    <row r="191" spans="2:23" x14ac:dyDescent="0.3">
      <c r="B191" s="11">
        <v>186</v>
      </c>
      <c r="C191" s="11"/>
      <c r="D191" s="14"/>
      <c r="E191" s="11"/>
      <c r="F191" s="11"/>
      <c r="G191" s="11"/>
      <c r="H191" s="18">
        <f t="shared" si="18"/>
        <v>0</v>
      </c>
      <c r="I191" s="11"/>
      <c r="J191" s="11"/>
      <c r="K191" s="11"/>
      <c r="L191" s="30" t="e">
        <f t="shared" si="19"/>
        <v>#DIV/0!</v>
      </c>
      <c r="M191" s="11"/>
      <c r="N191" s="11"/>
      <c r="O191" s="18" t="e">
        <f t="shared" si="20"/>
        <v>#DIV/0!</v>
      </c>
      <c r="P191" s="11"/>
      <c r="Q191" s="18">
        <f t="shared" si="21"/>
        <v>0</v>
      </c>
      <c r="R191" s="12"/>
      <c r="S191" s="12"/>
      <c r="T191" s="18" t="e">
        <f t="shared" si="22"/>
        <v>#DIV/0!</v>
      </c>
      <c r="U191" s="11"/>
      <c r="V191" s="11"/>
      <c r="W191" s="18" t="e">
        <f t="shared" si="23"/>
        <v>#DIV/0!</v>
      </c>
    </row>
    <row r="192" spans="2:23" x14ac:dyDescent="0.3">
      <c r="B192" s="11">
        <v>187</v>
      </c>
      <c r="C192" s="11"/>
      <c r="D192" s="14"/>
      <c r="E192" s="11"/>
      <c r="F192" s="11"/>
      <c r="G192" s="11"/>
      <c r="H192" s="18">
        <f t="shared" si="18"/>
        <v>0</v>
      </c>
      <c r="I192" s="11"/>
      <c r="J192" s="11"/>
      <c r="K192" s="11"/>
      <c r="L192" s="30" t="e">
        <f t="shared" si="19"/>
        <v>#DIV/0!</v>
      </c>
      <c r="M192" s="11"/>
      <c r="N192" s="11"/>
      <c r="O192" s="18" t="e">
        <f t="shared" si="20"/>
        <v>#DIV/0!</v>
      </c>
      <c r="P192" s="11"/>
      <c r="Q192" s="18">
        <f t="shared" si="21"/>
        <v>0</v>
      </c>
      <c r="R192" s="12"/>
      <c r="S192" s="12"/>
      <c r="T192" s="18" t="e">
        <f t="shared" si="22"/>
        <v>#DIV/0!</v>
      </c>
      <c r="U192" s="11"/>
      <c r="V192" s="11"/>
      <c r="W192" s="18" t="e">
        <f t="shared" si="23"/>
        <v>#DIV/0!</v>
      </c>
    </row>
    <row r="193" spans="2:23" x14ac:dyDescent="0.3">
      <c r="B193" s="11">
        <v>188</v>
      </c>
      <c r="C193" s="11"/>
      <c r="D193" s="14"/>
      <c r="E193" s="11"/>
      <c r="F193" s="11"/>
      <c r="G193" s="11"/>
      <c r="H193" s="18">
        <f t="shared" si="18"/>
        <v>0</v>
      </c>
      <c r="I193" s="11"/>
      <c r="J193" s="11"/>
      <c r="K193" s="11"/>
      <c r="L193" s="30" t="e">
        <f t="shared" si="19"/>
        <v>#DIV/0!</v>
      </c>
      <c r="M193" s="11"/>
      <c r="N193" s="11"/>
      <c r="O193" s="18" t="e">
        <f t="shared" si="20"/>
        <v>#DIV/0!</v>
      </c>
      <c r="P193" s="11"/>
      <c r="Q193" s="18">
        <f t="shared" si="21"/>
        <v>0</v>
      </c>
      <c r="R193" s="12"/>
      <c r="S193" s="12"/>
      <c r="T193" s="18" t="e">
        <f t="shared" si="22"/>
        <v>#DIV/0!</v>
      </c>
      <c r="U193" s="11"/>
      <c r="V193" s="11"/>
      <c r="W193" s="18" t="e">
        <f t="shared" si="23"/>
        <v>#DIV/0!</v>
      </c>
    </row>
    <row r="194" spans="2:23" x14ac:dyDescent="0.3">
      <c r="B194" s="11">
        <v>189</v>
      </c>
      <c r="C194" s="11"/>
      <c r="D194" s="14"/>
      <c r="E194" s="11"/>
      <c r="F194" s="11"/>
      <c r="G194" s="11"/>
      <c r="H194" s="18">
        <f t="shared" si="18"/>
        <v>0</v>
      </c>
      <c r="I194" s="11"/>
      <c r="J194" s="11"/>
      <c r="K194" s="11"/>
      <c r="L194" s="30" t="e">
        <f t="shared" si="19"/>
        <v>#DIV/0!</v>
      </c>
      <c r="M194" s="11"/>
      <c r="N194" s="11"/>
      <c r="O194" s="18" t="e">
        <f t="shared" si="20"/>
        <v>#DIV/0!</v>
      </c>
      <c r="P194" s="11"/>
      <c r="Q194" s="18">
        <f t="shared" si="21"/>
        <v>0</v>
      </c>
      <c r="R194" s="12"/>
      <c r="S194" s="12"/>
      <c r="T194" s="18" t="e">
        <f t="shared" si="22"/>
        <v>#DIV/0!</v>
      </c>
      <c r="U194" s="11"/>
      <c r="V194" s="11"/>
      <c r="W194" s="18" t="e">
        <f t="shared" si="23"/>
        <v>#DIV/0!</v>
      </c>
    </row>
    <row r="195" spans="2:23" x14ac:dyDescent="0.3">
      <c r="B195" s="11">
        <v>190</v>
      </c>
      <c r="C195" s="11"/>
      <c r="D195" s="14"/>
      <c r="E195" s="11"/>
      <c r="F195" s="11"/>
      <c r="G195" s="11"/>
      <c r="H195" s="18">
        <f t="shared" si="18"/>
        <v>0</v>
      </c>
      <c r="I195" s="11"/>
      <c r="J195" s="11"/>
      <c r="K195" s="11"/>
      <c r="L195" s="30" t="e">
        <f t="shared" si="19"/>
        <v>#DIV/0!</v>
      </c>
      <c r="M195" s="11"/>
      <c r="N195" s="11"/>
      <c r="O195" s="18" t="e">
        <f t="shared" si="20"/>
        <v>#DIV/0!</v>
      </c>
      <c r="P195" s="11"/>
      <c r="Q195" s="18">
        <f t="shared" si="21"/>
        <v>0</v>
      </c>
      <c r="R195" s="12"/>
      <c r="S195" s="12"/>
      <c r="T195" s="18" t="e">
        <f t="shared" si="22"/>
        <v>#DIV/0!</v>
      </c>
      <c r="U195" s="11"/>
      <c r="V195" s="11"/>
      <c r="W195" s="18" t="e">
        <f t="shared" si="23"/>
        <v>#DIV/0!</v>
      </c>
    </row>
    <row r="196" spans="2:23" x14ac:dyDescent="0.3">
      <c r="B196" s="11">
        <v>191</v>
      </c>
      <c r="C196" s="11"/>
      <c r="D196" s="14"/>
      <c r="E196" s="11"/>
      <c r="F196" s="11"/>
      <c r="G196" s="11"/>
      <c r="H196" s="18">
        <f t="shared" si="18"/>
        <v>0</v>
      </c>
      <c r="I196" s="11"/>
      <c r="J196" s="11"/>
      <c r="K196" s="11"/>
      <c r="L196" s="30" t="e">
        <f t="shared" si="19"/>
        <v>#DIV/0!</v>
      </c>
      <c r="M196" s="11"/>
      <c r="N196" s="11"/>
      <c r="O196" s="18" t="e">
        <f t="shared" si="20"/>
        <v>#DIV/0!</v>
      </c>
      <c r="P196" s="11"/>
      <c r="Q196" s="18">
        <f t="shared" si="21"/>
        <v>0</v>
      </c>
      <c r="R196" s="12"/>
      <c r="S196" s="12"/>
      <c r="T196" s="18" t="e">
        <f t="shared" si="22"/>
        <v>#DIV/0!</v>
      </c>
      <c r="U196" s="11"/>
      <c r="V196" s="11"/>
      <c r="W196" s="18" t="e">
        <f t="shared" si="23"/>
        <v>#DIV/0!</v>
      </c>
    </row>
    <row r="197" spans="2:23" x14ac:dyDescent="0.3">
      <c r="B197" s="11">
        <v>192</v>
      </c>
      <c r="C197" s="11"/>
      <c r="D197" s="14"/>
      <c r="E197" s="11"/>
      <c r="F197" s="11"/>
      <c r="G197" s="11"/>
      <c r="H197" s="18">
        <f t="shared" si="18"/>
        <v>0</v>
      </c>
      <c r="I197" s="11"/>
      <c r="J197" s="11"/>
      <c r="K197" s="11"/>
      <c r="L197" s="30" t="e">
        <f t="shared" si="19"/>
        <v>#DIV/0!</v>
      </c>
      <c r="M197" s="11"/>
      <c r="N197" s="11"/>
      <c r="O197" s="18" t="e">
        <f t="shared" si="20"/>
        <v>#DIV/0!</v>
      </c>
      <c r="P197" s="11"/>
      <c r="Q197" s="18">
        <f t="shared" si="21"/>
        <v>0</v>
      </c>
      <c r="R197" s="12"/>
      <c r="S197" s="12"/>
      <c r="T197" s="18" t="e">
        <f t="shared" si="22"/>
        <v>#DIV/0!</v>
      </c>
      <c r="U197" s="11"/>
      <c r="V197" s="11"/>
      <c r="W197" s="18" t="e">
        <f t="shared" si="23"/>
        <v>#DIV/0!</v>
      </c>
    </row>
    <row r="198" spans="2:23" x14ac:dyDescent="0.3">
      <c r="B198" s="11">
        <v>193</v>
      </c>
      <c r="C198" s="11"/>
      <c r="D198" s="14"/>
      <c r="E198" s="11"/>
      <c r="F198" s="11"/>
      <c r="G198" s="11"/>
      <c r="H198" s="18">
        <f t="shared" si="18"/>
        <v>0</v>
      </c>
      <c r="I198" s="11"/>
      <c r="J198" s="11"/>
      <c r="K198" s="11"/>
      <c r="L198" s="30" t="e">
        <f t="shared" si="19"/>
        <v>#DIV/0!</v>
      </c>
      <c r="M198" s="11"/>
      <c r="N198" s="11"/>
      <c r="O198" s="18" t="e">
        <f t="shared" si="20"/>
        <v>#DIV/0!</v>
      </c>
      <c r="P198" s="11"/>
      <c r="Q198" s="18">
        <f t="shared" si="21"/>
        <v>0</v>
      </c>
      <c r="R198" s="12"/>
      <c r="S198" s="12"/>
      <c r="T198" s="18" t="e">
        <f t="shared" si="22"/>
        <v>#DIV/0!</v>
      </c>
      <c r="U198" s="11"/>
      <c r="V198" s="11"/>
      <c r="W198" s="18" t="e">
        <f t="shared" si="23"/>
        <v>#DIV/0!</v>
      </c>
    </row>
    <row r="199" spans="2:23" x14ac:dyDescent="0.3">
      <c r="B199" s="11">
        <v>194</v>
      </c>
      <c r="C199" s="11"/>
      <c r="D199" s="14"/>
      <c r="E199" s="11"/>
      <c r="F199" s="11"/>
      <c r="G199" s="11"/>
      <c r="H199" s="18">
        <f t="shared" si="18"/>
        <v>0</v>
      </c>
      <c r="I199" s="11"/>
      <c r="J199" s="11"/>
      <c r="K199" s="11"/>
      <c r="L199" s="30" t="e">
        <f t="shared" si="19"/>
        <v>#DIV/0!</v>
      </c>
      <c r="M199" s="11"/>
      <c r="N199" s="11"/>
      <c r="O199" s="18" t="e">
        <f t="shared" si="20"/>
        <v>#DIV/0!</v>
      </c>
      <c r="P199" s="11"/>
      <c r="Q199" s="18">
        <f t="shared" si="21"/>
        <v>0</v>
      </c>
      <c r="R199" s="12"/>
      <c r="S199" s="12"/>
      <c r="T199" s="18" t="e">
        <f t="shared" si="22"/>
        <v>#DIV/0!</v>
      </c>
      <c r="U199" s="11"/>
      <c r="V199" s="11"/>
      <c r="W199" s="18" t="e">
        <f t="shared" si="23"/>
        <v>#DIV/0!</v>
      </c>
    </row>
    <row r="200" spans="2:23" x14ac:dyDescent="0.3">
      <c r="B200" s="11">
        <v>195</v>
      </c>
      <c r="C200" s="11"/>
      <c r="D200" s="14"/>
      <c r="E200" s="11"/>
      <c r="F200" s="11"/>
      <c r="G200" s="11"/>
      <c r="H200" s="18">
        <f t="shared" si="18"/>
        <v>0</v>
      </c>
      <c r="I200" s="11"/>
      <c r="J200" s="11"/>
      <c r="K200" s="11"/>
      <c r="L200" s="30" t="e">
        <f t="shared" si="19"/>
        <v>#DIV/0!</v>
      </c>
      <c r="M200" s="11"/>
      <c r="N200" s="11"/>
      <c r="O200" s="18" t="e">
        <f t="shared" si="20"/>
        <v>#DIV/0!</v>
      </c>
      <c r="P200" s="11"/>
      <c r="Q200" s="18">
        <f t="shared" si="21"/>
        <v>0</v>
      </c>
      <c r="R200" s="12"/>
      <c r="S200" s="12"/>
      <c r="T200" s="18" t="e">
        <f t="shared" si="22"/>
        <v>#DIV/0!</v>
      </c>
      <c r="U200" s="11"/>
      <c r="V200" s="11"/>
      <c r="W200" s="18" t="e">
        <f t="shared" si="23"/>
        <v>#DIV/0!</v>
      </c>
    </row>
    <row r="201" spans="2:23" x14ac:dyDescent="0.3">
      <c r="B201" s="11">
        <v>196</v>
      </c>
      <c r="C201" s="11"/>
      <c r="D201" s="14"/>
      <c r="E201" s="11"/>
      <c r="F201" s="11"/>
      <c r="G201" s="11"/>
      <c r="H201" s="18">
        <f t="shared" si="18"/>
        <v>0</v>
      </c>
      <c r="I201" s="11"/>
      <c r="J201" s="11"/>
      <c r="K201" s="11"/>
      <c r="L201" s="30" t="e">
        <f t="shared" si="19"/>
        <v>#DIV/0!</v>
      </c>
      <c r="M201" s="11"/>
      <c r="N201" s="11"/>
      <c r="O201" s="18" t="e">
        <f t="shared" si="20"/>
        <v>#DIV/0!</v>
      </c>
      <c r="P201" s="11"/>
      <c r="Q201" s="18">
        <f t="shared" si="21"/>
        <v>0</v>
      </c>
      <c r="R201" s="12"/>
      <c r="S201" s="12"/>
      <c r="T201" s="18" t="e">
        <f t="shared" si="22"/>
        <v>#DIV/0!</v>
      </c>
      <c r="U201" s="11"/>
      <c r="V201" s="11"/>
      <c r="W201" s="18" t="e">
        <f t="shared" si="23"/>
        <v>#DIV/0!</v>
      </c>
    </row>
    <row r="202" spans="2:23" x14ac:dyDescent="0.3">
      <c r="B202" s="11">
        <v>197</v>
      </c>
      <c r="C202" s="11"/>
      <c r="D202" s="14"/>
      <c r="E202" s="11"/>
      <c r="F202" s="11"/>
      <c r="G202" s="11"/>
      <c r="H202" s="18">
        <f t="shared" si="18"/>
        <v>0</v>
      </c>
      <c r="I202" s="11"/>
      <c r="J202" s="11"/>
      <c r="K202" s="11"/>
      <c r="L202" s="30" t="e">
        <f t="shared" si="19"/>
        <v>#DIV/0!</v>
      </c>
      <c r="M202" s="11"/>
      <c r="N202" s="11"/>
      <c r="O202" s="18" t="e">
        <f t="shared" si="20"/>
        <v>#DIV/0!</v>
      </c>
      <c r="P202" s="11"/>
      <c r="Q202" s="18">
        <f t="shared" si="21"/>
        <v>0</v>
      </c>
      <c r="R202" s="12"/>
      <c r="S202" s="12"/>
      <c r="T202" s="18" t="e">
        <f t="shared" si="22"/>
        <v>#DIV/0!</v>
      </c>
      <c r="U202" s="11"/>
      <c r="V202" s="11"/>
      <c r="W202" s="18" t="e">
        <f t="shared" si="23"/>
        <v>#DIV/0!</v>
      </c>
    </row>
    <row r="203" spans="2:23" x14ac:dyDescent="0.3">
      <c r="B203" s="11">
        <v>198</v>
      </c>
      <c r="C203" s="11"/>
      <c r="D203" s="14"/>
      <c r="E203" s="11"/>
      <c r="F203" s="11"/>
      <c r="G203" s="11"/>
      <c r="H203" s="18">
        <f t="shared" si="18"/>
        <v>0</v>
      </c>
      <c r="I203" s="11"/>
      <c r="J203" s="11"/>
      <c r="K203" s="11"/>
      <c r="L203" s="30" t="e">
        <f t="shared" si="19"/>
        <v>#DIV/0!</v>
      </c>
      <c r="M203" s="11"/>
      <c r="N203" s="11"/>
      <c r="O203" s="18" t="e">
        <f t="shared" si="20"/>
        <v>#DIV/0!</v>
      </c>
      <c r="P203" s="11"/>
      <c r="Q203" s="18">
        <f t="shared" si="21"/>
        <v>0</v>
      </c>
      <c r="R203" s="12"/>
      <c r="S203" s="12"/>
      <c r="T203" s="18" t="e">
        <f t="shared" si="22"/>
        <v>#DIV/0!</v>
      </c>
      <c r="U203" s="11"/>
      <c r="V203" s="11"/>
      <c r="W203" s="18" t="e">
        <f t="shared" si="23"/>
        <v>#DIV/0!</v>
      </c>
    </row>
    <row r="204" spans="2:23" x14ac:dyDescent="0.3">
      <c r="B204" s="11">
        <v>199</v>
      </c>
      <c r="C204" s="11"/>
      <c r="D204" s="14"/>
      <c r="E204" s="11"/>
      <c r="F204" s="11"/>
      <c r="G204" s="11"/>
      <c r="H204" s="18">
        <f t="shared" si="18"/>
        <v>0</v>
      </c>
      <c r="I204" s="11"/>
      <c r="J204" s="11"/>
      <c r="K204" s="11"/>
      <c r="L204" s="30" t="e">
        <f t="shared" si="19"/>
        <v>#DIV/0!</v>
      </c>
      <c r="M204" s="11"/>
      <c r="N204" s="11"/>
      <c r="O204" s="18" t="e">
        <f t="shared" si="20"/>
        <v>#DIV/0!</v>
      </c>
      <c r="P204" s="11"/>
      <c r="Q204" s="18">
        <f t="shared" si="21"/>
        <v>0</v>
      </c>
      <c r="R204" s="12"/>
      <c r="S204" s="12"/>
      <c r="T204" s="18" t="e">
        <f t="shared" si="22"/>
        <v>#DIV/0!</v>
      </c>
      <c r="U204" s="11"/>
      <c r="V204" s="11"/>
      <c r="W204" s="18" t="e">
        <f t="shared" si="23"/>
        <v>#DIV/0!</v>
      </c>
    </row>
    <row r="205" spans="2:23" x14ac:dyDescent="0.3">
      <c r="B205" s="11">
        <v>200</v>
      </c>
      <c r="C205" s="11"/>
      <c r="D205" s="14"/>
      <c r="E205" s="11"/>
      <c r="F205" s="11"/>
      <c r="G205" s="11"/>
      <c r="H205" s="18">
        <f t="shared" si="18"/>
        <v>0</v>
      </c>
      <c r="I205" s="11"/>
      <c r="J205" s="11"/>
      <c r="K205" s="11"/>
      <c r="L205" s="30" t="e">
        <f t="shared" si="19"/>
        <v>#DIV/0!</v>
      </c>
      <c r="M205" s="11"/>
      <c r="N205" s="11"/>
      <c r="O205" s="18" t="e">
        <f t="shared" si="20"/>
        <v>#DIV/0!</v>
      </c>
      <c r="P205" s="11"/>
      <c r="Q205" s="18">
        <f t="shared" si="21"/>
        <v>0</v>
      </c>
      <c r="R205" s="12"/>
      <c r="S205" s="12"/>
      <c r="T205" s="18" t="e">
        <f t="shared" si="22"/>
        <v>#DIV/0!</v>
      </c>
      <c r="U205" s="11"/>
      <c r="V205" s="11"/>
      <c r="W205" s="18" t="e">
        <f t="shared" si="23"/>
        <v>#DIV/0!</v>
      </c>
    </row>
    <row r="206" spans="2:23" x14ac:dyDescent="0.3">
      <c r="B206" s="11">
        <v>201</v>
      </c>
      <c r="C206" s="11"/>
      <c r="D206" s="14"/>
      <c r="E206" s="11"/>
      <c r="F206" s="11"/>
      <c r="G206" s="11"/>
      <c r="H206" s="18">
        <f t="shared" si="18"/>
        <v>0</v>
      </c>
      <c r="I206" s="11"/>
      <c r="J206" s="11"/>
      <c r="K206" s="11"/>
      <c r="L206" s="30" t="e">
        <f t="shared" si="19"/>
        <v>#DIV/0!</v>
      </c>
      <c r="M206" s="11"/>
      <c r="N206" s="11"/>
      <c r="O206" s="18" t="e">
        <f t="shared" si="20"/>
        <v>#DIV/0!</v>
      </c>
      <c r="P206" s="11"/>
      <c r="Q206" s="18">
        <f t="shared" si="21"/>
        <v>0</v>
      </c>
      <c r="R206" s="12"/>
      <c r="S206" s="12"/>
      <c r="T206" s="18" t="e">
        <f t="shared" si="22"/>
        <v>#DIV/0!</v>
      </c>
      <c r="U206" s="11"/>
      <c r="V206" s="11"/>
      <c r="W206" s="18" t="e">
        <f t="shared" si="23"/>
        <v>#DIV/0!</v>
      </c>
    </row>
    <row r="207" spans="2:23" x14ac:dyDescent="0.3">
      <c r="B207" s="11">
        <v>202</v>
      </c>
      <c r="C207" s="11"/>
      <c r="D207" s="14"/>
      <c r="E207" s="11"/>
      <c r="F207" s="11"/>
      <c r="G207" s="11"/>
      <c r="H207" s="18">
        <f t="shared" si="18"/>
        <v>0</v>
      </c>
      <c r="I207" s="11"/>
      <c r="J207" s="11"/>
      <c r="K207" s="11"/>
      <c r="L207" s="30" t="e">
        <f t="shared" si="19"/>
        <v>#DIV/0!</v>
      </c>
      <c r="M207" s="11"/>
      <c r="N207" s="11"/>
      <c r="O207" s="18" t="e">
        <f t="shared" si="20"/>
        <v>#DIV/0!</v>
      </c>
      <c r="P207" s="11"/>
      <c r="Q207" s="18">
        <f t="shared" si="21"/>
        <v>0</v>
      </c>
      <c r="R207" s="12"/>
      <c r="S207" s="12"/>
      <c r="T207" s="18" t="e">
        <f t="shared" si="22"/>
        <v>#DIV/0!</v>
      </c>
      <c r="U207" s="11"/>
      <c r="V207" s="11"/>
      <c r="W207" s="18" t="e">
        <f t="shared" si="23"/>
        <v>#DIV/0!</v>
      </c>
    </row>
    <row r="208" spans="2:23" x14ac:dyDescent="0.3">
      <c r="B208" s="11">
        <v>203</v>
      </c>
      <c r="C208" s="11"/>
      <c r="D208" s="14"/>
      <c r="E208" s="11"/>
      <c r="F208" s="11"/>
      <c r="G208" s="11"/>
      <c r="H208" s="18">
        <f t="shared" si="18"/>
        <v>0</v>
      </c>
      <c r="I208" s="11"/>
      <c r="J208" s="11"/>
      <c r="K208" s="11"/>
      <c r="L208" s="30" t="e">
        <f t="shared" si="19"/>
        <v>#DIV/0!</v>
      </c>
      <c r="M208" s="11"/>
      <c r="N208" s="11"/>
      <c r="O208" s="18" t="e">
        <f t="shared" si="20"/>
        <v>#DIV/0!</v>
      </c>
      <c r="P208" s="11"/>
      <c r="Q208" s="18">
        <f t="shared" si="21"/>
        <v>0</v>
      </c>
      <c r="R208" s="12"/>
      <c r="S208" s="12"/>
      <c r="T208" s="18" t="e">
        <f t="shared" si="22"/>
        <v>#DIV/0!</v>
      </c>
      <c r="U208" s="11"/>
      <c r="V208" s="11"/>
      <c r="W208" s="18" t="e">
        <f t="shared" si="23"/>
        <v>#DIV/0!</v>
      </c>
    </row>
    <row r="209" spans="2:23" x14ac:dyDescent="0.3">
      <c r="B209" s="11">
        <v>204</v>
      </c>
      <c r="C209" s="11"/>
      <c r="D209" s="14"/>
      <c r="E209" s="11"/>
      <c r="F209" s="11"/>
      <c r="G209" s="11"/>
      <c r="H209" s="18">
        <f t="shared" si="18"/>
        <v>0</v>
      </c>
      <c r="I209" s="11"/>
      <c r="J209" s="11"/>
      <c r="K209" s="11"/>
      <c r="L209" s="30" t="e">
        <f t="shared" si="19"/>
        <v>#DIV/0!</v>
      </c>
      <c r="M209" s="11"/>
      <c r="N209" s="11"/>
      <c r="O209" s="18" t="e">
        <f t="shared" si="20"/>
        <v>#DIV/0!</v>
      </c>
      <c r="P209" s="11"/>
      <c r="Q209" s="18">
        <f t="shared" si="21"/>
        <v>0</v>
      </c>
      <c r="R209" s="12"/>
      <c r="S209" s="12"/>
      <c r="T209" s="18" t="e">
        <f t="shared" si="22"/>
        <v>#DIV/0!</v>
      </c>
      <c r="U209" s="11"/>
      <c r="V209" s="11"/>
      <c r="W209" s="18" t="e">
        <f t="shared" si="23"/>
        <v>#DIV/0!</v>
      </c>
    </row>
    <row r="210" spans="2:23" x14ac:dyDescent="0.3">
      <c r="B210" s="11">
        <v>205</v>
      </c>
      <c r="C210" s="11"/>
      <c r="D210" s="14"/>
      <c r="E210" s="11"/>
      <c r="F210" s="11"/>
      <c r="G210" s="11"/>
      <c r="H210" s="18">
        <f t="shared" si="18"/>
        <v>0</v>
      </c>
      <c r="I210" s="11"/>
      <c r="J210" s="11"/>
      <c r="K210" s="11"/>
      <c r="L210" s="30" t="e">
        <f t="shared" si="19"/>
        <v>#DIV/0!</v>
      </c>
      <c r="M210" s="11"/>
      <c r="N210" s="11"/>
      <c r="O210" s="18" t="e">
        <f t="shared" si="20"/>
        <v>#DIV/0!</v>
      </c>
      <c r="P210" s="11"/>
      <c r="Q210" s="18">
        <f t="shared" si="21"/>
        <v>0</v>
      </c>
      <c r="R210" s="12"/>
      <c r="S210" s="12"/>
      <c r="T210" s="18" t="e">
        <f t="shared" si="22"/>
        <v>#DIV/0!</v>
      </c>
      <c r="U210" s="11"/>
      <c r="V210" s="11"/>
      <c r="W210" s="18" t="e">
        <f t="shared" si="23"/>
        <v>#DIV/0!</v>
      </c>
    </row>
    <row r="211" spans="2:23" x14ac:dyDescent="0.3">
      <c r="B211" s="11">
        <v>206</v>
      </c>
      <c r="C211" s="11"/>
      <c r="D211" s="14"/>
      <c r="E211" s="11"/>
      <c r="F211" s="11"/>
      <c r="G211" s="11"/>
      <c r="H211" s="18">
        <f t="shared" si="18"/>
        <v>0</v>
      </c>
      <c r="I211" s="11"/>
      <c r="J211" s="11"/>
      <c r="K211" s="11"/>
      <c r="L211" s="30" t="e">
        <f t="shared" si="19"/>
        <v>#DIV/0!</v>
      </c>
      <c r="M211" s="11"/>
      <c r="N211" s="11"/>
      <c r="O211" s="18" t="e">
        <f t="shared" si="20"/>
        <v>#DIV/0!</v>
      </c>
      <c r="P211" s="11"/>
      <c r="Q211" s="18">
        <f t="shared" si="21"/>
        <v>0</v>
      </c>
      <c r="R211" s="12"/>
      <c r="S211" s="12"/>
      <c r="T211" s="18" t="e">
        <f t="shared" si="22"/>
        <v>#DIV/0!</v>
      </c>
      <c r="U211" s="11"/>
      <c r="V211" s="11"/>
      <c r="W211" s="18" t="e">
        <f t="shared" si="23"/>
        <v>#DIV/0!</v>
      </c>
    </row>
    <row r="212" spans="2:23" x14ac:dyDescent="0.3">
      <c r="B212" s="11">
        <v>207</v>
      </c>
      <c r="C212" s="11"/>
      <c r="D212" s="14"/>
      <c r="E212" s="11"/>
      <c r="F212" s="11"/>
      <c r="G212" s="11"/>
      <c r="H212" s="18">
        <f t="shared" si="18"/>
        <v>0</v>
      </c>
      <c r="I212" s="11"/>
      <c r="J212" s="11"/>
      <c r="K212" s="11"/>
      <c r="L212" s="30" t="e">
        <f t="shared" si="19"/>
        <v>#DIV/0!</v>
      </c>
      <c r="M212" s="11"/>
      <c r="N212" s="11"/>
      <c r="O212" s="18" t="e">
        <f t="shared" si="20"/>
        <v>#DIV/0!</v>
      </c>
      <c r="P212" s="11"/>
      <c r="Q212" s="18">
        <f t="shared" si="21"/>
        <v>0</v>
      </c>
      <c r="R212" s="12"/>
      <c r="S212" s="12"/>
      <c r="T212" s="18" t="e">
        <f t="shared" si="22"/>
        <v>#DIV/0!</v>
      </c>
      <c r="U212" s="11"/>
      <c r="V212" s="11"/>
      <c r="W212" s="18" t="e">
        <f t="shared" si="23"/>
        <v>#DIV/0!</v>
      </c>
    </row>
    <row r="213" spans="2:23" x14ac:dyDescent="0.3">
      <c r="B213" s="11">
        <v>208</v>
      </c>
      <c r="C213" s="11"/>
      <c r="D213" s="14"/>
      <c r="E213" s="11"/>
      <c r="F213" s="11"/>
      <c r="G213" s="11"/>
      <c r="H213" s="18">
        <f t="shared" si="18"/>
        <v>0</v>
      </c>
      <c r="I213" s="11"/>
      <c r="J213" s="11"/>
      <c r="K213" s="11"/>
      <c r="L213" s="30" t="e">
        <f t="shared" si="19"/>
        <v>#DIV/0!</v>
      </c>
      <c r="M213" s="11"/>
      <c r="N213" s="11"/>
      <c r="O213" s="18" t="e">
        <f t="shared" si="20"/>
        <v>#DIV/0!</v>
      </c>
      <c r="P213" s="11"/>
      <c r="Q213" s="18">
        <f t="shared" si="21"/>
        <v>0</v>
      </c>
      <c r="R213" s="12"/>
      <c r="S213" s="12"/>
      <c r="T213" s="18" t="e">
        <f t="shared" si="22"/>
        <v>#DIV/0!</v>
      </c>
      <c r="U213" s="11"/>
      <c r="V213" s="11"/>
      <c r="W213" s="18" t="e">
        <f t="shared" si="23"/>
        <v>#DIV/0!</v>
      </c>
    </row>
    <row r="214" spans="2:23" x14ac:dyDescent="0.3">
      <c r="B214" s="11">
        <v>209</v>
      </c>
      <c r="C214" s="11"/>
      <c r="D214" s="14"/>
      <c r="E214" s="11"/>
      <c r="F214" s="11"/>
      <c r="G214" s="11"/>
      <c r="H214" s="18">
        <f t="shared" si="18"/>
        <v>0</v>
      </c>
      <c r="I214" s="11"/>
      <c r="J214" s="11"/>
      <c r="K214" s="11"/>
      <c r="L214" s="30" t="e">
        <f t="shared" si="19"/>
        <v>#DIV/0!</v>
      </c>
      <c r="M214" s="11"/>
      <c r="N214" s="11"/>
      <c r="O214" s="18" t="e">
        <f t="shared" si="20"/>
        <v>#DIV/0!</v>
      </c>
      <c r="P214" s="11"/>
      <c r="Q214" s="18">
        <f t="shared" si="21"/>
        <v>0</v>
      </c>
      <c r="R214" s="12"/>
      <c r="S214" s="12"/>
      <c r="T214" s="18" t="e">
        <f t="shared" si="22"/>
        <v>#DIV/0!</v>
      </c>
      <c r="U214" s="11"/>
      <c r="V214" s="11"/>
      <c r="W214" s="18" t="e">
        <f t="shared" si="23"/>
        <v>#DIV/0!</v>
      </c>
    </row>
    <row r="215" spans="2:23" x14ac:dyDescent="0.3">
      <c r="B215" s="11">
        <v>210</v>
      </c>
      <c r="C215" s="11"/>
      <c r="D215" s="14"/>
      <c r="E215" s="11"/>
      <c r="F215" s="11"/>
      <c r="G215" s="11"/>
      <c r="H215" s="18">
        <f t="shared" si="18"/>
        <v>0</v>
      </c>
      <c r="I215" s="11"/>
      <c r="J215" s="11"/>
      <c r="K215" s="11"/>
      <c r="L215" s="30" t="e">
        <f t="shared" si="19"/>
        <v>#DIV/0!</v>
      </c>
      <c r="M215" s="11"/>
      <c r="N215" s="11"/>
      <c r="O215" s="18" t="e">
        <f t="shared" si="20"/>
        <v>#DIV/0!</v>
      </c>
      <c r="P215" s="11"/>
      <c r="Q215" s="18">
        <f t="shared" si="21"/>
        <v>0</v>
      </c>
      <c r="R215" s="12"/>
      <c r="S215" s="12"/>
      <c r="T215" s="18" t="e">
        <f t="shared" si="22"/>
        <v>#DIV/0!</v>
      </c>
      <c r="U215" s="11"/>
      <c r="V215" s="11"/>
      <c r="W215" s="18" t="e">
        <f t="shared" si="23"/>
        <v>#DIV/0!</v>
      </c>
    </row>
    <row r="216" spans="2:23" x14ac:dyDescent="0.3">
      <c r="B216" s="11">
        <v>211</v>
      </c>
      <c r="C216" s="11"/>
      <c r="D216" s="14"/>
      <c r="E216" s="11"/>
      <c r="F216" s="11"/>
      <c r="G216" s="11"/>
      <c r="H216" s="18">
        <f t="shared" si="18"/>
        <v>0</v>
      </c>
      <c r="I216" s="11"/>
      <c r="J216" s="11"/>
      <c r="K216" s="11"/>
      <c r="L216" s="30" t="e">
        <f t="shared" si="19"/>
        <v>#DIV/0!</v>
      </c>
      <c r="M216" s="11"/>
      <c r="N216" s="11"/>
      <c r="O216" s="18" t="e">
        <f t="shared" si="20"/>
        <v>#DIV/0!</v>
      </c>
      <c r="P216" s="11"/>
      <c r="Q216" s="18">
        <f t="shared" si="21"/>
        <v>0</v>
      </c>
      <c r="R216" s="12"/>
      <c r="S216" s="12"/>
      <c r="T216" s="18" t="e">
        <f t="shared" si="22"/>
        <v>#DIV/0!</v>
      </c>
      <c r="U216" s="11"/>
      <c r="V216" s="11"/>
      <c r="W216" s="18" t="e">
        <f t="shared" si="23"/>
        <v>#DIV/0!</v>
      </c>
    </row>
    <row r="217" spans="2:23" x14ac:dyDescent="0.3">
      <c r="B217" s="11">
        <v>212</v>
      </c>
      <c r="C217" s="11"/>
      <c r="D217" s="14"/>
      <c r="E217" s="11"/>
      <c r="F217" s="11"/>
      <c r="G217" s="11"/>
      <c r="H217" s="18">
        <f t="shared" si="18"/>
        <v>0</v>
      </c>
      <c r="I217" s="11"/>
      <c r="J217" s="11"/>
      <c r="K217" s="11"/>
      <c r="L217" s="30" t="e">
        <f t="shared" si="19"/>
        <v>#DIV/0!</v>
      </c>
      <c r="M217" s="11"/>
      <c r="N217" s="11"/>
      <c r="O217" s="18" t="e">
        <f t="shared" si="20"/>
        <v>#DIV/0!</v>
      </c>
      <c r="P217" s="11"/>
      <c r="Q217" s="18">
        <f t="shared" si="21"/>
        <v>0</v>
      </c>
      <c r="R217" s="12"/>
      <c r="S217" s="12"/>
      <c r="T217" s="18" t="e">
        <f t="shared" si="22"/>
        <v>#DIV/0!</v>
      </c>
      <c r="U217" s="11"/>
      <c r="V217" s="11"/>
      <c r="W217" s="18" t="e">
        <f t="shared" si="23"/>
        <v>#DIV/0!</v>
      </c>
    </row>
    <row r="218" spans="2:23" x14ac:dyDescent="0.3">
      <c r="B218" s="11">
        <v>213</v>
      </c>
      <c r="C218" s="11"/>
      <c r="D218" s="14"/>
      <c r="E218" s="11"/>
      <c r="F218" s="11"/>
      <c r="G218" s="11"/>
      <c r="H218" s="18">
        <f t="shared" ref="H218:H233" si="24">G218</f>
        <v>0</v>
      </c>
      <c r="I218" s="11"/>
      <c r="J218" s="11"/>
      <c r="K218" s="11"/>
      <c r="L218" s="30" t="e">
        <f t="shared" ref="L218:L233" si="25">AVERAGE(J218:K218)</f>
        <v>#DIV/0!</v>
      </c>
      <c r="M218" s="11"/>
      <c r="N218" s="11"/>
      <c r="O218" s="18" t="e">
        <f t="shared" ref="O218:O233" si="26">AVERAGE(M218:N218)</f>
        <v>#DIV/0!</v>
      </c>
      <c r="P218" s="11"/>
      <c r="Q218" s="18">
        <f t="shared" ref="Q218:Q233" si="27">P218</f>
        <v>0</v>
      </c>
      <c r="R218" s="12"/>
      <c r="S218" s="12"/>
      <c r="T218" s="18" t="e">
        <f t="shared" ref="T218:T233" si="28">AVERAGE(R218:S218)</f>
        <v>#DIV/0!</v>
      </c>
      <c r="U218" s="11"/>
      <c r="V218" s="11"/>
      <c r="W218" s="18" t="e">
        <f t="shared" ref="W218:W233" si="29">AVERAGE(U218:V218)</f>
        <v>#DIV/0!</v>
      </c>
    </row>
    <row r="219" spans="2:23" x14ac:dyDescent="0.3">
      <c r="B219" s="11">
        <v>214</v>
      </c>
      <c r="C219" s="11"/>
      <c r="D219" s="14"/>
      <c r="E219" s="11"/>
      <c r="F219" s="11"/>
      <c r="G219" s="11"/>
      <c r="H219" s="18">
        <f t="shared" si="24"/>
        <v>0</v>
      </c>
      <c r="I219" s="11"/>
      <c r="J219" s="11"/>
      <c r="K219" s="11"/>
      <c r="L219" s="30" t="e">
        <f t="shared" si="25"/>
        <v>#DIV/0!</v>
      </c>
      <c r="M219" s="11"/>
      <c r="N219" s="11"/>
      <c r="O219" s="18" t="e">
        <f t="shared" si="26"/>
        <v>#DIV/0!</v>
      </c>
      <c r="P219" s="11"/>
      <c r="Q219" s="18">
        <f t="shared" si="27"/>
        <v>0</v>
      </c>
      <c r="R219" s="12"/>
      <c r="S219" s="12"/>
      <c r="T219" s="18" t="e">
        <f t="shared" si="28"/>
        <v>#DIV/0!</v>
      </c>
      <c r="U219" s="11"/>
      <c r="V219" s="11"/>
      <c r="W219" s="18" t="e">
        <f t="shared" si="29"/>
        <v>#DIV/0!</v>
      </c>
    </row>
    <row r="220" spans="2:23" x14ac:dyDescent="0.3">
      <c r="B220" s="11">
        <v>215</v>
      </c>
      <c r="C220" s="11"/>
      <c r="D220" s="14"/>
      <c r="E220" s="11"/>
      <c r="F220" s="11"/>
      <c r="G220" s="11"/>
      <c r="H220" s="18">
        <f t="shared" si="24"/>
        <v>0</v>
      </c>
      <c r="I220" s="11"/>
      <c r="J220" s="11"/>
      <c r="K220" s="11"/>
      <c r="L220" s="30" t="e">
        <f t="shared" si="25"/>
        <v>#DIV/0!</v>
      </c>
      <c r="M220" s="11"/>
      <c r="N220" s="11"/>
      <c r="O220" s="18" t="e">
        <f t="shared" si="26"/>
        <v>#DIV/0!</v>
      </c>
      <c r="P220" s="11"/>
      <c r="Q220" s="18">
        <f t="shared" si="27"/>
        <v>0</v>
      </c>
      <c r="R220" s="12"/>
      <c r="S220" s="12"/>
      <c r="T220" s="18" t="e">
        <f t="shared" si="28"/>
        <v>#DIV/0!</v>
      </c>
      <c r="U220" s="11"/>
      <c r="V220" s="11"/>
      <c r="W220" s="18" t="e">
        <f t="shared" si="29"/>
        <v>#DIV/0!</v>
      </c>
    </row>
    <row r="221" spans="2:23" x14ac:dyDescent="0.3">
      <c r="B221" s="11">
        <v>216</v>
      </c>
      <c r="C221" s="11"/>
      <c r="D221" s="14"/>
      <c r="E221" s="11"/>
      <c r="F221" s="11"/>
      <c r="G221" s="11"/>
      <c r="H221" s="18">
        <f t="shared" si="24"/>
        <v>0</v>
      </c>
      <c r="I221" s="11"/>
      <c r="J221" s="11"/>
      <c r="K221" s="11"/>
      <c r="L221" s="30" t="e">
        <f t="shared" si="25"/>
        <v>#DIV/0!</v>
      </c>
      <c r="M221" s="11"/>
      <c r="N221" s="11"/>
      <c r="O221" s="18" t="e">
        <f t="shared" si="26"/>
        <v>#DIV/0!</v>
      </c>
      <c r="P221" s="11"/>
      <c r="Q221" s="18">
        <f t="shared" si="27"/>
        <v>0</v>
      </c>
      <c r="R221" s="12"/>
      <c r="S221" s="12"/>
      <c r="T221" s="18" t="e">
        <f t="shared" si="28"/>
        <v>#DIV/0!</v>
      </c>
      <c r="U221" s="11"/>
      <c r="V221" s="11"/>
      <c r="W221" s="18" t="e">
        <f t="shared" si="29"/>
        <v>#DIV/0!</v>
      </c>
    </row>
    <row r="222" spans="2:23" x14ac:dyDescent="0.3">
      <c r="B222" s="11">
        <v>217</v>
      </c>
      <c r="C222" s="11"/>
      <c r="D222" s="14"/>
      <c r="E222" s="11"/>
      <c r="F222" s="11"/>
      <c r="G222" s="11"/>
      <c r="H222" s="18">
        <f t="shared" si="24"/>
        <v>0</v>
      </c>
      <c r="I222" s="11"/>
      <c r="J222" s="11"/>
      <c r="K222" s="11"/>
      <c r="L222" s="30" t="e">
        <f t="shared" si="25"/>
        <v>#DIV/0!</v>
      </c>
      <c r="M222" s="11"/>
      <c r="N222" s="11"/>
      <c r="O222" s="18" t="e">
        <f t="shared" si="26"/>
        <v>#DIV/0!</v>
      </c>
      <c r="P222" s="11"/>
      <c r="Q222" s="18">
        <f t="shared" si="27"/>
        <v>0</v>
      </c>
      <c r="R222" s="12"/>
      <c r="S222" s="12"/>
      <c r="T222" s="18" t="e">
        <f t="shared" si="28"/>
        <v>#DIV/0!</v>
      </c>
      <c r="U222" s="11"/>
      <c r="V222" s="11"/>
      <c r="W222" s="18" t="e">
        <f t="shared" si="29"/>
        <v>#DIV/0!</v>
      </c>
    </row>
    <row r="223" spans="2:23" x14ac:dyDescent="0.3">
      <c r="B223" s="11">
        <v>218</v>
      </c>
      <c r="C223" s="11"/>
      <c r="D223" s="14"/>
      <c r="E223" s="11"/>
      <c r="F223" s="11"/>
      <c r="G223" s="11"/>
      <c r="H223" s="18">
        <f t="shared" si="24"/>
        <v>0</v>
      </c>
      <c r="I223" s="11"/>
      <c r="J223" s="11"/>
      <c r="K223" s="11"/>
      <c r="L223" s="30" t="e">
        <f t="shared" si="25"/>
        <v>#DIV/0!</v>
      </c>
      <c r="M223" s="11"/>
      <c r="N223" s="11"/>
      <c r="O223" s="18" t="e">
        <f t="shared" si="26"/>
        <v>#DIV/0!</v>
      </c>
      <c r="P223" s="11"/>
      <c r="Q223" s="18">
        <f t="shared" si="27"/>
        <v>0</v>
      </c>
      <c r="R223" s="12"/>
      <c r="S223" s="12"/>
      <c r="T223" s="18" t="e">
        <f t="shared" si="28"/>
        <v>#DIV/0!</v>
      </c>
      <c r="U223" s="11"/>
      <c r="V223" s="11"/>
      <c r="W223" s="18" t="e">
        <f t="shared" si="29"/>
        <v>#DIV/0!</v>
      </c>
    </row>
    <row r="224" spans="2:23" x14ac:dyDescent="0.3">
      <c r="B224" s="11">
        <v>219</v>
      </c>
      <c r="C224" s="11"/>
      <c r="D224" s="14"/>
      <c r="E224" s="11"/>
      <c r="F224" s="11"/>
      <c r="G224" s="11"/>
      <c r="H224" s="18">
        <f t="shared" si="24"/>
        <v>0</v>
      </c>
      <c r="I224" s="11"/>
      <c r="J224" s="11"/>
      <c r="K224" s="11"/>
      <c r="L224" s="30" t="e">
        <f t="shared" si="25"/>
        <v>#DIV/0!</v>
      </c>
      <c r="M224" s="11"/>
      <c r="N224" s="11"/>
      <c r="O224" s="18" t="e">
        <f t="shared" si="26"/>
        <v>#DIV/0!</v>
      </c>
      <c r="P224" s="11"/>
      <c r="Q224" s="18">
        <f t="shared" si="27"/>
        <v>0</v>
      </c>
      <c r="R224" s="12"/>
      <c r="S224" s="12"/>
      <c r="T224" s="18" t="e">
        <f t="shared" si="28"/>
        <v>#DIV/0!</v>
      </c>
      <c r="U224" s="11"/>
      <c r="V224" s="11"/>
      <c r="W224" s="18" t="e">
        <f t="shared" si="29"/>
        <v>#DIV/0!</v>
      </c>
    </row>
    <row r="225" spans="2:23" x14ac:dyDescent="0.3">
      <c r="B225" s="11">
        <v>220</v>
      </c>
      <c r="C225" s="11"/>
      <c r="D225" s="14"/>
      <c r="E225" s="11"/>
      <c r="F225" s="11"/>
      <c r="G225" s="11"/>
      <c r="H225" s="18">
        <f t="shared" si="24"/>
        <v>0</v>
      </c>
      <c r="I225" s="11"/>
      <c r="J225" s="11"/>
      <c r="K225" s="11"/>
      <c r="L225" s="30" t="e">
        <f t="shared" si="25"/>
        <v>#DIV/0!</v>
      </c>
      <c r="M225" s="11"/>
      <c r="N225" s="11"/>
      <c r="O225" s="18" t="e">
        <f t="shared" si="26"/>
        <v>#DIV/0!</v>
      </c>
      <c r="P225" s="11"/>
      <c r="Q225" s="18">
        <f t="shared" si="27"/>
        <v>0</v>
      </c>
      <c r="R225" s="12"/>
      <c r="S225" s="12"/>
      <c r="T225" s="18" t="e">
        <f t="shared" si="28"/>
        <v>#DIV/0!</v>
      </c>
      <c r="U225" s="11"/>
      <c r="V225" s="11"/>
      <c r="W225" s="18" t="e">
        <f t="shared" si="29"/>
        <v>#DIV/0!</v>
      </c>
    </row>
    <row r="226" spans="2:23" x14ac:dyDescent="0.3">
      <c r="B226" s="11">
        <v>221</v>
      </c>
      <c r="C226" s="11"/>
      <c r="D226" s="14"/>
      <c r="E226" s="11"/>
      <c r="F226" s="11"/>
      <c r="G226" s="11"/>
      <c r="H226" s="18">
        <f t="shared" si="24"/>
        <v>0</v>
      </c>
      <c r="I226" s="11"/>
      <c r="J226" s="11"/>
      <c r="K226" s="11"/>
      <c r="L226" s="30" t="e">
        <f t="shared" si="25"/>
        <v>#DIV/0!</v>
      </c>
      <c r="M226" s="11"/>
      <c r="N226" s="11"/>
      <c r="O226" s="18" t="e">
        <f t="shared" si="26"/>
        <v>#DIV/0!</v>
      </c>
      <c r="P226" s="11"/>
      <c r="Q226" s="18">
        <f t="shared" si="27"/>
        <v>0</v>
      </c>
      <c r="R226" s="12"/>
      <c r="S226" s="12"/>
      <c r="T226" s="18" t="e">
        <f t="shared" si="28"/>
        <v>#DIV/0!</v>
      </c>
      <c r="U226" s="11"/>
      <c r="V226" s="11"/>
      <c r="W226" s="18" t="e">
        <f t="shared" si="29"/>
        <v>#DIV/0!</v>
      </c>
    </row>
    <row r="227" spans="2:23" x14ac:dyDescent="0.3">
      <c r="B227" s="11">
        <v>222</v>
      </c>
      <c r="C227" s="11"/>
      <c r="D227" s="14"/>
      <c r="E227" s="11"/>
      <c r="F227" s="11"/>
      <c r="G227" s="11"/>
      <c r="H227" s="18">
        <f t="shared" si="24"/>
        <v>0</v>
      </c>
      <c r="I227" s="11"/>
      <c r="J227" s="11"/>
      <c r="K227" s="11"/>
      <c r="L227" s="30" t="e">
        <f t="shared" si="25"/>
        <v>#DIV/0!</v>
      </c>
      <c r="M227" s="11"/>
      <c r="N227" s="11"/>
      <c r="O227" s="18" t="e">
        <f t="shared" si="26"/>
        <v>#DIV/0!</v>
      </c>
      <c r="P227" s="11"/>
      <c r="Q227" s="18">
        <f t="shared" si="27"/>
        <v>0</v>
      </c>
      <c r="R227" s="12"/>
      <c r="S227" s="12"/>
      <c r="T227" s="18" t="e">
        <f t="shared" si="28"/>
        <v>#DIV/0!</v>
      </c>
      <c r="U227" s="11"/>
      <c r="V227" s="11"/>
      <c r="W227" s="18" t="e">
        <f t="shared" si="29"/>
        <v>#DIV/0!</v>
      </c>
    </row>
    <row r="228" spans="2:23" x14ac:dyDescent="0.3">
      <c r="B228" s="11">
        <v>223</v>
      </c>
      <c r="C228" s="11"/>
      <c r="D228" s="14"/>
      <c r="E228" s="11"/>
      <c r="F228" s="11"/>
      <c r="G228" s="11"/>
      <c r="H228" s="18">
        <f t="shared" si="24"/>
        <v>0</v>
      </c>
      <c r="I228" s="11"/>
      <c r="J228" s="11"/>
      <c r="K228" s="11"/>
      <c r="L228" s="30" t="e">
        <f t="shared" si="25"/>
        <v>#DIV/0!</v>
      </c>
      <c r="M228" s="11"/>
      <c r="N228" s="11"/>
      <c r="O228" s="18" t="e">
        <f t="shared" si="26"/>
        <v>#DIV/0!</v>
      </c>
      <c r="P228" s="11"/>
      <c r="Q228" s="18">
        <f t="shared" si="27"/>
        <v>0</v>
      </c>
      <c r="R228" s="12"/>
      <c r="S228" s="12"/>
      <c r="T228" s="18" t="e">
        <f t="shared" si="28"/>
        <v>#DIV/0!</v>
      </c>
      <c r="U228" s="11"/>
      <c r="V228" s="11"/>
      <c r="W228" s="18" t="e">
        <f t="shared" si="29"/>
        <v>#DIV/0!</v>
      </c>
    </row>
    <row r="229" spans="2:23" x14ac:dyDescent="0.3">
      <c r="B229" s="11">
        <v>224</v>
      </c>
      <c r="C229" s="11"/>
      <c r="D229" s="14"/>
      <c r="E229" s="11"/>
      <c r="F229" s="11"/>
      <c r="G229" s="11"/>
      <c r="H229" s="18">
        <f t="shared" si="24"/>
        <v>0</v>
      </c>
      <c r="I229" s="11"/>
      <c r="J229" s="11"/>
      <c r="K229" s="11"/>
      <c r="L229" s="30" t="e">
        <f t="shared" si="25"/>
        <v>#DIV/0!</v>
      </c>
      <c r="M229" s="11"/>
      <c r="N229" s="11"/>
      <c r="O229" s="18" t="e">
        <f t="shared" si="26"/>
        <v>#DIV/0!</v>
      </c>
      <c r="P229" s="11"/>
      <c r="Q229" s="18">
        <f t="shared" si="27"/>
        <v>0</v>
      </c>
      <c r="R229" s="12"/>
      <c r="S229" s="12"/>
      <c r="T229" s="18" t="e">
        <f t="shared" si="28"/>
        <v>#DIV/0!</v>
      </c>
      <c r="U229" s="11"/>
      <c r="V229" s="11"/>
      <c r="W229" s="18" t="e">
        <f t="shared" si="29"/>
        <v>#DIV/0!</v>
      </c>
    </row>
    <row r="230" spans="2:23" x14ac:dyDescent="0.3">
      <c r="B230" s="11">
        <v>225</v>
      </c>
      <c r="C230" s="11"/>
      <c r="D230" s="14"/>
      <c r="E230" s="11"/>
      <c r="F230" s="11"/>
      <c r="G230" s="11"/>
      <c r="H230" s="18">
        <f t="shared" si="24"/>
        <v>0</v>
      </c>
      <c r="I230" s="11"/>
      <c r="J230" s="11"/>
      <c r="K230" s="11"/>
      <c r="L230" s="30" t="e">
        <f t="shared" si="25"/>
        <v>#DIV/0!</v>
      </c>
      <c r="M230" s="11"/>
      <c r="N230" s="11"/>
      <c r="O230" s="18" t="e">
        <f t="shared" si="26"/>
        <v>#DIV/0!</v>
      </c>
      <c r="P230" s="11"/>
      <c r="Q230" s="18">
        <f t="shared" si="27"/>
        <v>0</v>
      </c>
      <c r="R230" s="12"/>
      <c r="S230" s="12"/>
      <c r="T230" s="18" t="e">
        <f t="shared" si="28"/>
        <v>#DIV/0!</v>
      </c>
      <c r="U230" s="11"/>
      <c r="V230" s="11"/>
      <c r="W230" s="18" t="e">
        <f t="shared" si="29"/>
        <v>#DIV/0!</v>
      </c>
    </row>
    <row r="231" spans="2:23" x14ac:dyDescent="0.3">
      <c r="B231" s="11">
        <v>226</v>
      </c>
      <c r="C231" s="11"/>
      <c r="D231" s="14"/>
      <c r="E231" s="11"/>
      <c r="F231" s="11"/>
      <c r="G231" s="11"/>
      <c r="H231" s="18">
        <f t="shared" si="24"/>
        <v>0</v>
      </c>
      <c r="I231" s="11"/>
      <c r="J231" s="11"/>
      <c r="K231" s="11"/>
      <c r="L231" s="30" t="e">
        <f t="shared" si="25"/>
        <v>#DIV/0!</v>
      </c>
      <c r="M231" s="11"/>
      <c r="N231" s="11"/>
      <c r="O231" s="18" t="e">
        <f t="shared" si="26"/>
        <v>#DIV/0!</v>
      </c>
      <c r="P231" s="11"/>
      <c r="Q231" s="18">
        <f t="shared" si="27"/>
        <v>0</v>
      </c>
      <c r="R231" s="12"/>
      <c r="S231" s="12"/>
      <c r="T231" s="18" t="e">
        <f t="shared" si="28"/>
        <v>#DIV/0!</v>
      </c>
      <c r="U231" s="11"/>
      <c r="V231" s="11"/>
      <c r="W231" s="18" t="e">
        <f t="shared" si="29"/>
        <v>#DIV/0!</v>
      </c>
    </row>
    <row r="232" spans="2:23" x14ac:dyDescent="0.3">
      <c r="B232" s="11">
        <v>227</v>
      </c>
      <c r="C232" s="11"/>
      <c r="D232" s="14"/>
      <c r="E232" s="11"/>
      <c r="F232" s="11"/>
      <c r="G232" s="11"/>
      <c r="H232" s="18">
        <f t="shared" si="24"/>
        <v>0</v>
      </c>
      <c r="I232" s="11"/>
      <c r="J232" s="11"/>
      <c r="K232" s="11"/>
      <c r="L232" s="30" t="e">
        <f t="shared" si="25"/>
        <v>#DIV/0!</v>
      </c>
      <c r="M232" s="11"/>
      <c r="N232" s="11"/>
      <c r="O232" s="18" t="e">
        <f t="shared" si="26"/>
        <v>#DIV/0!</v>
      </c>
      <c r="P232" s="11"/>
      <c r="Q232" s="18">
        <f t="shared" si="27"/>
        <v>0</v>
      </c>
      <c r="R232" s="12"/>
      <c r="S232" s="12"/>
      <c r="T232" s="18" t="e">
        <f t="shared" si="28"/>
        <v>#DIV/0!</v>
      </c>
      <c r="U232" s="11"/>
      <c r="V232" s="11"/>
      <c r="W232" s="18" t="e">
        <f t="shared" si="29"/>
        <v>#DIV/0!</v>
      </c>
    </row>
    <row r="233" spans="2:23" x14ac:dyDescent="0.3">
      <c r="B233" s="11">
        <v>228</v>
      </c>
      <c r="C233" s="11"/>
      <c r="D233" s="14"/>
      <c r="E233" s="11"/>
      <c r="F233" s="11"/>
      <c r="G233" s="11"/>
      <c r="H233" s="18">
        <f t="shared" si="24"/>
        <v>0</v>
      </c>
      <c r="I233" s="11"/>
      <c r="J233" s="11"/>
      <c r="K233" s="11"/>
      <c r="L233" s="30" t="e">
        <f t="shared" si="25"/>
        <v>#DIV/0!</v>
      </c>
      <c r="M233" s="11"/>
      <c r="N233" s="11"/>
      <c r="O233" s="18" t="e">
        <f t="shared" si="26"/>
        <v>#DIV/0!</v>
      </c>
      <c r="P233" s="11"/>
      <c r="Q233" s="18">
        <f t="shared" si="27"/>
        <v>0</v>
      </c>
      <c r="R233" s="12"/>
      <c r="S233" s="12"/>
      <c r="T233" s="18" t="e">
        <f t="shared" si="28"/>
        <v>#DIV/0!</v>
      </c>
      <c r="U233" s="11"/>
      <c r="V233" s="11"/>
      <c r="W233" s="18" t="e">
        <f t="shared" si="29"/>
        <v>#DIV/0!</v>
      </c>
    </row>
    <row r="234" spans="2:23" x14ac:dyDescent="0.3">
      <c r="B234" s="14">
        <v>229</v>
      </c>
      <c r="C234" s="11"/>
      <c r="D234" s="14"/>
      <c r="E234" s="11"/>
      <c r="F234" s="11"/>
      <c r="G234" s="11"/>
      <c r="H234" s="18">
        <f t="shared" ref="H234:H297" si="30">G234</f>
        <v>0</v>
      </c>
      <c r="I234" s="11"/>
      <c r="J234" s="11"/>
      <c r="K234" s="11"/>
      <c r="L234" s="30" t="e">
        <f t="shared" ref="L234:L297" si="31">AVERAGE(J234:K234)</f>
        <v>#DIV/0!</v>
      </c>
      <c r="M234" s="11"/>
      <c r="N234" s="11"/>
      <c r="O234" s="18" t="e">
        <f t="shared" ref="O234:O297" si="32">AVERAGE(M234:N234)</f>
        <v>#DIV/0!</v>
      </c>
      <c r="P234" s="11"/>
      <c r="Q234" s="18">
        <f t="shared" ref="Q234:Q297" si="33">P234</f>
        <v>0</v>
      </c>
      <c r="R234" s="12"/>
      <c r="S234" s="12"/>
      <c r="T234" s="18" t="e">
        <f t="shared" ref="T234:T297" si="34">AVERAGE(R234:S234)</f>
        <v>#DIV/0!</v>
      </c>
      <c r="U234" s="11"/>
      <c r="V234" s="11"/>
      <c r="W234" s="18" t="e">
        <f t="shared" ref="W234:W297" si="35">AVERAGE(U234:V234)</f>
        <v>#DIV/0!</v>
      </c>
    </row>
    <row r="235" spans="2:23" x14ac:dyDescent="0.3">
      <c r="B235" s="14">
        <v>230</v>
      </c>
      <c r="C235" s="11"/>
      <c r="D235" s="14"/>
      <c r="E235" s="11"/>
      <c r="F235" s="11"/>
      <c r="G235" s="11"/>
      <c r="H235" s="18">
        <f t="shared" si="30"/>
        <v>0</v>
      </c>
      <c r="I235" s="11"/>
      <c r="J235" s="11"/>
      <c r="K235" s="11"/>
      <c r="L235" s="30" t="e">
        <f t="shared" si="31"/>
        <v>#DIV/0!</v>
      </c>
      <c r="M235" s="11"/>
      <c r="N235" s="11"/>
      <c r="O235" s="18" t="e">
        <f t="shared" si="32"/>
        <v>#DIV/0!</v>
      </c>
      <c r="P235" s="11"/>
      <c r="Q235" s="18">
        <f t="shared" si="33"/>
        <v>0</v>
      </c>
      <c r="R235" s="12"/>
      <c r="S235" s="12"/>
      <c r="T235" s="18" t="e">
        <f t="shared" si="34"/>
        <v>#DIV/0!</v>
      </c>
      <c r="U235" s="11"/>
      <c r="V235" s="11"/>
      <c r="W235" s="18" t="e">
        <f t="shared" si="35"/>
        <v>#DIV/0!</v>
      </c>
    </row>
    <row r="236" spans="2:23" x14ac:dyDescent="0.3">
      <c r="B236" s="14">
        <v>231</v>
      </c>
      <c r="C236" s="11"/>
      <c r="D236" s="14"/>
      <c r="E236" s="11"/>
      <c r="F236" s="11"/>
      <c r="G236" s="11"/>
      <c r="H236" s="18">
        <f t="shared" si="30"/>
        <v>0</v>
      </c>
      <c r="I236" s="11"/>
      <c r="J236" s="11"/>
      <c r="K236" s="11"/>
      <c r="L236" s="30" t="e">
        <f t="shared" si="31"/>
        <v>#DIV/0!</v>
      </c>
      <c r="M236" s="11"/>
      <c r="N236" s="11"/>
      <c r="O236" s="18" t="e">
        <f t="shared" si="32"/>
        <v>#DIV/0!</v>
      </c>
      <c r="P236" s="11"/>
      <c r="Q236" s="18">
        <f t="shared" si="33"/>
        <v>0</v>
      </c>
      <c r="R236" s="12"/>
      <c r="S236" s="12"/>
      <c r="T236" s="18" t="e">
        <f t="shared" si="34"/>
        <v>#DIV/0!</v>
      </c>
      <c r="U236" s="11"/>
      <c r="V236" s="11"/>
      <c r="W236" s="18" t="e">
        <f t="shared" si="35"/>
        <v>#DIV/0!</v>
      </c>
    </row>
    <row r="237" spans="2:23" x14ac:dyDescent="0.3">
      <c r="B237" s="14">
        <v>232</v>
      </c>
      <c r="C237" s="11"/>
      <c r="D237" s="14"/>
      <c r="E237" s="11"/>
      <c r="F237" s="11"/>
      <c r="G237" s="11"/>
      <c r="H237" s="18">
        <f t="shared" si="30"/>
        <v>0</v>
      </c>
      <c r="I237" s="11"/>
      <c r="J237" s="11"/>
      <c r="K237" s="11"/>
      <c r="L237" s="30" t="e">
        <f t="shared" si="31"/>
        <v>#DIV/0!</v>
      </c>
      <c r="M237" s="11"/>
      <c r="N237" s="11"/>
      <c r="O237" s="18" t="e">
        <f t="shared" si="32"/>
        <v>#DIV/0!</v>
      </c>
      <c r="P237" s="11"/>
      <c r="Q237" s="18">
        <f t="shared" si="33"/>
        <v>0</v>
      </c>
      <c r="R237" s="12"/>
      <c r="S237" s="12"/>
      <c r="T237" s="18" t="e">
        <f t="shared" si="34"/>
        <v>#DIV/0!</v>
      </c>
      <c r="U237" s="11"/>
      <c r="V237" s="11"/>
      <c r="W237" s="18" t="e">
        <f t="shared" si="35"/>
        <v>#DIV/0!</v>
      </c>
    </row>
    <row r="238" spans="2:23" x14ac:dyDescent="0.3">
      <c r="B238" s="14">
        <v>233</v>
      </c>
      <c r="C238" s="11"/>
      <c r="D238" s="14"/>
      <c r="E238" s="11"/>
      <c r="F238" s="11"/>
      <c r="G238" s="11"/>
      <c r="H238" s="18">
        <f t="shared" si="30"/>
        <v>0</v>
      </c>
      <c r="I238" s="11"/>
      <c r="J238" s="11"/>
      <c r="K238" s="11"/>
      <c r="L238" s="30" t="e">
        <f t="shared" si="31"/>
        <v>#DIV/0!</v>
      </c>
      <c r="M238" s="11"/>
      <c r="N238" s="11"/>
      <c r="O238" s="18" t="e">
        <f t="shared" si="32"/>
        <v>#DIV/0!</v>
      </c>
      <c r="P238" s="11"/>
      <c r="Q238" s="18">
        <f t="shared" si="33"/>
        <v>0</v>
      </c>
      <c r="R238" s="12"/>
      <c r="S238" s="12"/>
      <c r="T238" s="18" t="e">
        <f t="shared" si="34"/>
        <v>#DIV/0!</v>
      </c>
      <c r="U238" s="11"/>
      <c r="V238" s="11"/>
      <c r="W238" s="18" t="e">
        <f t="shared" si="35"/>
        <v>#DIV/0!</v>
      </c>
    </row>
    <row r="239" spans="2:23" x14ac:dyDescent="0.3">
      <c r="B239" s="14">
        <v>234</v>
      </c>
      <c r="C239" s="11"/>
      <c r="D239" s="14"/>
      <c r="E239" s="11"/>
      <c r="F239" s="11"/>
      <c r="G239" s="11"/>
      <c r="H239" s="18">
        <f t="shared" si="30"/>
        <v>0</v>
      </c>
      <c r="I239" s="11"/>
      <c r="J239" s="11"/>
      <c r="K239" s="11"/>
      <c r="L239" s="30" t="e">
        <f t="shared" si="31"/>
        <v>#DIV/0!</v>
      </c>
      <c r="M239" s="11"/>
      <c r="N239" s="11"/>
      <c r="O239" s="18" t="e">
        <f t="shared" si="32"/>
        <v>#DIV/0!</v>
      </c>
      <c r="P239" s="11"/>
      <c r="Q239" s="18">
        <f t="shared" si="33"/>
        <v>0</v>
      </c>
      <c r="R239" s="12"/>
      <c r="S239" s="12"/>
      <c r="T239" s="18" t="e">
        <f t="shared" si="34"/>
        <v>#DIV/0!</v>
      </c>
      <c r="U239" s="11"/>
      <c r="V239" s="11"/>
      <c r="W239" s="18" t="e">
        <f t="shared" si="35"/>
        <v>#DIV/0!</v>
      </c>
    </row>
    <row r="240" spans="2:23" x14ac:dyDescent="0.3">
      <c r="B240" s="14">
        <v>235</v>
      </c>
      <c r="C240" s="11"/>
      <c r="D240" s="14"/>
      <c r="E240" s="11"/>
      <c r="F240" s="11"/>
      <c r="G240" s="11"/>
      <c r="H240" s="18">
        <f t="shared" si="30"/>
        <v>0</v>
      </c>
      <c r="I240" s="11"/>
      <c r="J240" s="11"/>
      <c r="K240" s="11"/>
      <c r="L240" s="30" t="e">
        <f t="shared" si="31"/>
        <v>#DIV/0!</v>
      </c>
      <c r="M240" s="11"/>
      <c r="N240" s="11"/>
      <c r="O240" s="18" t="e">
        <f t="shared" si="32"/>
        <v>#DIV/0!</v>
      </c>
      <c r="P240" s="11"/>
      <c r="Q240" s="18">
        <f t="shared" si="33"/>
        <v>0</v>
      </c>
      <c r="R240" s="12"/>
      <c r="S240" s="12"/>
      <c r="T240" s="18" t="e">
        <f t="shared" si="34"/>
        <v>#DIV/0!</v>
      </c>
      <c r="U240" s="11"/>
      <c r="V240" s="11"/>
      <c r="W240" s="18" t="e">
        <f t="shared" si="35"/>
        <v>#DIV/0!</v>
      </c>
    </row>
    <row r="241" spans="2:23" x14ac:dyDescent="0.3">
      <c r="B241" s="14">
        <v>236</v>
      </c>
      <c r="C241" s="11"/>
      <c r="D241" s="14"/>
      <c r="E241" s="11"/>
      <c r="F241" s="11"/>
      <c r="G241" s="11"/>
      <c r="H241" s="18">
        <f t="shared" si="30"/>
        <v>0</v>
      </c>
      <c r="I241" s="11"/>
      <c r="J241" s="11"/>
      <c r="K241" s="11"/>
      <c r="L241" s="30" t="e">
        <f t="shared" si="31"/>
        <v>#DIV/0!</v>
      </c>
      <c r="M241" s="11"/>
      <c r="N241" s="11"/>
      <c r="O241" s="18" t="e">
        <f t="shared" si="32"/>
        <v>#DIV/0!</v>
      </c>
      <c r="P241" s="11"/>
      <c r="Q241" s="18">
        <f t="shared" si="33"/>
        <v>0</v>
      </c>
      <c r="R241" s="12"/>
      <c r="S241" s="12"/>
      <c r="T241" s="18" t="e">
        <f t="shared" si="34"/>
        <v>#DIV/0!</v>
      </c>
      <c r="U241" s="11"/>
      <c r="V241" s="11"/>
      <c r="W241" s="18" t="e">
        <f t="shared" si="35"/>
        <v>#DIV/0!</v>
      </c>
    </row>
    <row r="242" spans="2:23" x14ac:dyDescent="0.3">
      <c r="B242" s="14">
        <v>237</v>
      </c>
      <c r="C242" s="11"/>
      <c r="D242" s="14"/>
      <c r="E242" s="11"/>
      <c r="F242" s="11"/>
      <c r="G242" s="11"/>
      <c r="H242" s="18">
        <f t="shared" si="30"/>
        <v>0</v>
      </c>
      <c r="I242" s="11"/>
      <c r="J242" s="11"/>
      <c r="K242" s="11"/>
      <c r="L242" s="30" t="e">
        <f t="shared" si="31"/>
        <v>#DIV/0!</v>
      </c>
      <c r="M242" s="11"/>
      <c r="N242" s="11"/>
      <c r="O242" s="18" t="e">
        <f t="shared" si="32"/>
        <v>#DIV/0!</v>
      </c>
      <c r="P242" s="11"/>
      <c r="Q242" s="18">
        <f t="shared" si="33"/>
        <v>0</v>
      </c>
      <c r="R242" s="12"/>
      <c r="S242" s="12"/>
      <c r="T242" s="18" t="e">
        <f t="shared" si="34"/>
        <v>#DIV/0!</v>
      </c>
      <c r="U242" s="11"/>
      <c r="V242" s="11"/>
      <c r="W242" s="18" t="e">
        <f t="shared" si="35"/>
        <v>#DIV/0!</v>
      </c>
    </row>
    <row r="243" spans="2:23" x14ac:dyDescent="0.3">
      <c r="B243" s="14">
        <v>238</v>
      </c>
      <c r="C243" s="11"/>
      <c r="D243" s="14"/>
      <c r="E243" s="11"/>
      <c r="F243" s="11"/>
      <c r="G243" s="11"/>
      <c r="H243" s="18">
        <f t="shared" si="30"/>
        <v>0</v>
      </c>
      <c r="I243" s="11"/>
      <c r="J243" s="11"/>
      <c r="K243" s="11"/>
      <c r="L243" s="30" t="e">
        <f t="shared" si="31"/>
        <v>#DIV/0!</v>
      </c>
      <c r="M243" s="11"/>
      <c r="N243" s="11"/>
      <c r="O243" s="18" t="e">
        <f t="shared" si="32"/>
        <v>#DIV/0!</v>
      </c>
      <c r="P243" s="11"/>
      <c r="Q243" s="18">
        <f t="shared" si="33"/>
        <v>0</v>
      </c>
      <c r="R243" s="12"/>
      <c r="S243" s="12"/>
      <c r="T243" s="18" t="e">
        <f t="shared" si="34"/>
        <v>#DIV/0!</v>
      </c>
      <c r="U243" s="11"/>
      <c r="V243" s="11"/>
      <c r="W243" s="18" t="e">
        <f t="shared" si="35"/>
        <v>#DIV/0!</v>
      </c>
    </row>
    <row r="244" spans="2:23" x14ac:dyDescent="0.3">
      <c r="B244" s="14">
        <v>239</v>
      </c>
      <c r="C244" s="11"/>
      <c r="D244" s="14"/>
      <c r="E244" s="11"/>
      <c r="F244" s="11"/>
      <c r="G244" s="11"/>
      <c r="H244" s="18">
        <f t="shared" si="30"/>
        <v>0</v>
      </c>
      <c r="I244" s="11"/>
      <c r="J244" s="11"/>
      <c r="K244" s="11"/>
      <c r="L244" s="30" t="e">
        <f t="shared" si="31"/>
        <v>#DIV/0!</v>
      </c>
      <c r="M244" s="11"/>
      <c r="N244" s="11"/>
      <c r="O244" s="18" t="e">
        <f t="shared" si="32"/>
        <v>#DIV/0!</v>
      </c>
      <c r="P244" s="11"/>
      <c r="Q244" s="18">
        <f t="shared" si="33"/>
        <v>0</v>
      </c>
      <c r="R244" s="12"/>
      <c r="S244" s="12"/>
      <c r="T244" s="18" t="e">
        <f t="shared" si="34"/>
        <v>#DIV/0!</v>
      </c>
      <c r="U244" s="11"/>
      <c r="V244" s="11"/>
      <c r="W244" s="18" t="e">
        <f t="shared" si="35"/>
        <v>#DIV/0!</v>
      </c>
    </row>
    <row r="245" spans="2:23" x14ac:dyDescent="0.3">
      <c r="B245" s="14">
        <v>240</v>
      </c>
      <c r="C245" s="11"/>
      <c r="D245" s="14"/>
      <c r="E245" s="11"/>
      <c r="F245" s="11"/>
      <c r="G245" s="11"/>
      <c r="H245" s="18">
        <f t="shared" si="30"/>
        <v>0</v>
      </c>
      <c r="I245" s="11"/>
      <c r="J245" s="11"/>
      <c r="K245" s="11"/>
      <c r="L245" s="30" t="e">
        <f t="shared" si="31"/>
        <v>#DIV/0!</v>
      </c>
      <c r="M245" s="11"/>
      <c r="N245" s="11"/>
      <c r="O245" s="18" t="e">
        <f t="shared" si="32"/>
        <v>#DIV/0!</v>
      </c>
      <c r="P245" s="11"/>
      <c r="Q245" s="18">
        <f t="shared" si="33"/>
        <v>0</v>
      </c>
      <c r="R245" s="12"/>
      <c r="S245" s="12"/>
      <c r="T245" s="18" t="e">
        <f t="shared" si="34"/>
        <v>#DIV/0!</v>
      </c>
      <c r="U245" s="11"/>
      <c r="V245" s="11"/>
      <c r="W245" s="18" t="e">
        <f t="shared" si="35"/>
        <v>#DIV/0!</v>
      </c>
    </row>
    <row r="246" spans="2:23" x14ac:dyDescent="0.3">
      <c r="B246" s="14">
        <v>241</v>
      </c>
      <c r="C246" s="11"/>
      <c r="D246" s="14"/>
      <c r="E246" s="11"/>
      <c r="F246" s="11"/>
      <c r="G246" s="11"/>
      <c r="H246" s="18">
        <f t="shared" si="30"/>
        <v>0</v>
      </c>
      <c r="I246" s="11"/>
      <c r="J246" s="11"/>
      <c r="K246" s="11"/>
      <c r="L246" s="30" t="e">
        <f t="shared" si="31"/>
        <v>#DIV/0!</v>
      </c>
      <c r="M246" s="11"/>
      <c r="N246" s="11"/>
      <c r="O246" s="18" t="e">
        <f t="shared" si="32"/>
        <v>#DIV/0!</v>
      </c>
      <c r="P246" s="11"/>
      <c r="Q246" s="18">
        <f t="shared" si="33"/>
        <v>0</v>
      </c>
      <c r="R246" s="12"/>
      <c r="S246" s="12"/>
      <c r="T246" s="18" t="e">
        <f t="shared" si="34"/>
        <v>#DIV/0!</v>
      </c>
      <c r="U246" s="11"/>
      <c r="V246" s="11"/>
      <c r="W246" s="18" t="e">
        <f t="shared" si="35"/>
        <v>#DIV/0!</v>
      </c>
    </row>
    <row r="247" spans="2:23" x14ac:dyDescent="0.3">
      <c r="B247" s="14">
        <v>242</v>
      </c>
      <c r="C247" s="11"/>
      <c r="D247" s="14"/>
      <c r="E247" s="11"/>
      <c r="F247" s="11"/>
      <c r="G247" s="11"/>
      <c r="H247" s="18">
        <f t="shared" si="30"/>
        <v>0</v>
      </c>
      <c r="I247" s="11"/>
      <c r="J247" s="11"/>
      <c r="K247" s="11"/>
      <c r="L247" s="30" t="e">
        <f t="shared" si="31"/>
        <v>#DIV/0!</v>
      </c>
      <c r="M247" s="11"/>
      <c r="N247" s="11"/>
      <c r="O247" s="18" t="e">
        <f t="shared" si="32"/>
        <v>#DIV/0!</v>
      </c>
      <c r="P247" s="11"/>
      <c r="Q247" s="18">
        <f t="shared" si="33"/>
        <v>0</v>
      </c>
      <c r="R247" s="12"/>
      <c r="S247" s="12"/>
      <c r="T247" s="18" t="e">
        <f t="shared" si="34"/>
        <v>#DIV/0!</v>
      </c>
      <c r="U247" s="11"/>
      <c r="V247" s="11"/>
      <c r="W247" s="18" t="e">
        <f t="shared" si="35"/>
        <v>#DIV/0!</v>
      </c>
    </row>
    <row r="248" spans="2:23" x14ac:dyDescent="0.3">
      <c r="B248" s="14">
        <v>243</v>
      </c>
      <c r="C248" s="11"/>
      <c r="D248" s="14"/>
      <c r="E248" s="11"/>
      <c r="F248" s="11"/>
      <c r="G248" s="11"/>
      <c r="H248" s="18">
        <f t="shared" si="30"/>
        <v>0</v>
      </c>
      <c r="I248" s="11"/>
      <c r="J248" s="11"/>
      <c r="K248" s="11"/>
      <c r="L248" s="30" t="e">
        <f t="shared" si="31"/>
        <v>#DIV/0!</v>
      </c>
      <c r="M248" s="11"/>
      <c r="N248" s="11"/>
      <c r="O248" s="18" t="e">
        <f t="shared" si="32"/>
        <v>#DIV/0!</v>
      </c>
      <c r="P248" s="11"/>
      <c r="Q248" s="18">
        <f t="shared" si="33"/>
        <v>0</v>
      </c>
      <c r="R248" s="12"/>
      <c r="S248" s="12"/>
      <c r="T248" s="18" t="e">
        <f t="shared" si="34"/>
        <v>#DIV/0!</v>
      </c>
      <c r="U248" s="11"/>
      <c r="V248" s="11"/>
      <c r="W248" s="18" t="e">
        <f t="shared" si="35"/>
        <v>#DIV/0!</v>
      </c>
    </row>
    <row r="249" spans="2:23" x14ac:dyDescent="0.3">
      <c r="B249" s="14">
        <v>244</v>
      </c>
      <c r="C249" s="11"/>
      <c r="D249" s="14"/>
      <c r="E249" s="11"/>
      <c r="F249" s="11"/>
      <c r="G249" s="11"/>
      <c r="H249" s="18">
        <f t="shared" si="30"/>
        <v>0</v>
      </c>
      <c r="I249" s="11"/>
      <c r="J249" s="11"/>
      <c r="K249" s="11"/>
      <c r="L249" s="30" t="e">
        <f t="shared" si="31"/>
        <v>#DIV/0!</v>
      </c>
      <c r="M249" s="11"/>
      <c r="N249" s="11"/>
      <c r="O249" s="18" t="e">
        <f t="shared" si="32"/>
        <v>#DIV/0!</v>
      </c>
      <c r="P249" s="11"/>
      <c r="Q249" s="18">
        <f t="shared" si="33"/>
        <v>0</v>
      </c>
      <c r="R249" s="12"/>
      <c r="S249" s="12"/>
      <c r="T249" s="18" t="e">
        <f t="shared" si="34"/>
        <v>#DIV/0!</v>
      </c>
      <c r="U249" s="11"/>
      <c r="V249" s="11"/>
      <c r="W249" s="18" t="e">
        <f t="shared" si="35"/>
        <v>#DIV/0!</v>
      </c>
    </row>
    <row r="250" spans="2:23" x14ac:dyDescent="0.3">
      <c r="B250" s="14">
        <v>245</v>
      </c>
      <c r="C250" s="11"/>
      <c r="D250" s="14"/>
      <c r="E250" s="11"/>
      <c r="F250" s="11"/>
      <c r="G250" s="11"/>
      <c r="H250" s="18">
        <f t="shared" si="30"/>
        <v>0</v>
      </c>
      <c r="I250" s="11"/>
      <c r="J250" s="11"/>
      <c r="K250" s="11"/>
      <c r="L250" s="30" t="e">
        <f t="shared" si="31"/>
        <v>#DIV/0!</v>
      </c>
      <c r="M250" s="11"/>
      <c r="N250" s="11"/>
      <c r="O250" s="18" t="e">
        <f t="shared" si="32"/>
        <v>#DIV/0!</v>
      </c>
      <c r="P250" s="11"/>
      <c r="Q250" s="18">
        <f t="shared" si="33"/>
        <v>0</v>
      </c>
      <c r="R250" s="12"/>
      <c r="S250" s="12"/>
      <c r="T250" s="18" t="e">
        <f t="shared" si="34"/>
        <v>#DIV/0!</v>
      </c>
      <c r="U250" s="11"/>
      <c r="V250" s="11"/>
      <c r="W250" s="18" t="e">
        <f t="shared" si="35"/>
        <v>#DIV/0!</v>
      </c>
    </row>
    <row r="251" spans="2:23" x14ac:dyDescent="0.3">
      <c r="B251" s="14">
        <v>246</v>
      </c>
      <c r="C251" s="11"/>
      <c r="D251" s="14"/>
      <c r="E251" s="11"/>
      <c r="F251" s="11"/>
      <c r="G251" s="11"/>
      <c r="H251" s="18">
        <f t="shared" si="30"/>
        <v>0</v>
      </c>
      <c r="I251" s="11"/>
      <c r="J251" s="11"/>
      <c r="K251" s="11"/>
      <c r="L251" s="30" t="e">
        <f t="shared" si="31"/>
        <v>#DIV/0!</v>
      </c>
      <c r="M251" s="11"/>
      <c r="N251" s="11"/>
      <c r="O251" s="18" t="e">
        <f t="shared" si="32"/>
        <v>#DIV/0!</v>
      </c>
      <c r="P251" s="11"/>
      <c r="Q251" s="18">
        <f t="shared" si="33"/>
        <v>0</v>
      </c>
      <c r="R251" s="12"/>
      <c r="S251" s="12"/>
      <c r="T251" s="18" t="e">
        <f t="shared" si="34"/>
        <v>#DIV/0!</v>
      </c>
      <c r="U251" s="11"/>
      <c r="V251" s="11"/>
      <c r="W251" s="18" t="e">
        <f t="shared" si="35"/>
        <v>#DIV/0!</v>
      </c>
    </row>
    <row r="252" spans="2:23" x14ac:dyDescent="0.3">
      <c r="B252" s="14">
        <v>247</v>
      </c>
      <c r="C252" s="11"/>
      <c r="D252" s="14"/>
      <c r="E252" s="11"/>
      <c r="F252" s="11"/>
      <c r="G252" s="11"/>
      <c r="H252" s="18">
        <f t="shared" si="30"/>
        <v>0</v>
      </c>
      <c r="I252" s="11"/>
      <c r="J252" s="11"/>
      <c r="K252" s="11"/>
      <c r="L252" s="30" t="e">
        <f t="shared" si="31"/>
        <v>#DIV/0!</v>
      </c>
      <c r="M252" s="11"/>
      <c r="N252" s="11"/>
      <c r="O252" s="18" t="e">
        <f t="shared" si="32"/>
        <v>#DIV/0!</v>
      </c>
      <c r="P252" s="11"/>
      <c r="Q252" s="18">
        <f t="shared" si="33"/>
        <v>0</v>
      </c>
      <c r="R252" s="12"/>
      <c r="S252" s="12"/>
      <c r="T252" s="18" t="e">
        <f t="shared" si="34"/>
        <v>#DIV/0!</v>
      </c>
      <c r="U252" s="11"/>
      <c r="V252" s="11"/>
      <c r="W252" s="18" t="e">
        <f t="shared" si="35"/>
        <v>#DIV/0!</v>
      </c>
    </row>
    <row r="253" spans="2:23" x14ac:dyDescent="0.3">
      <c r="B253" s="14">
        <v>248</v>
      </c>
      <c r="C253" s="11"/>
      <c r="D253" s="14"/>
      <c r="E253" s="11"/>
      <c r="F253" s="11"/>
      <c r="G253" s="11"/>
      <c r="H253" s="18">
        <f t="shared" si="30"/>
        <v>0</v>
      </c>
      <c r="I253" s="11"/>
      <c r="J253" s="11"/>
      <c r="K253" s="11"/>
      <c r="L253" s="30" t="e">
        <f t="shared" si="31"/>
        <v>#DIV/0!</v>
      </c>
      <c r="M253" s="11"/>
      <c r="N253" s="11"/>
      <c r="O253" s="18" t="e">
        <f t="shared" si="32"/>
        <v>#DIV/0!</v>
      </c>
      <c r="P253" s="11"/>
      <c r="Q253" s="18">
        <f t="shared" si="33"/>
        <v>0</v>
      </c>
      <c r="R253" s="12"/>
      <c r="S253" s="12"/>
      <c r="T253" s="18" t="e">
        <f t="shared" si="34"/>
        <v>#DIV/0!</v>
      </c>
      <c r="U253" s="11"/>
      <c r="V253" s="11"/>
      <c r="W253" s="18" t="e">
        <f t="shared" si="35"/>
        <v>#DIV/0!</v>
      </c>
    </row>
    <row r="254" spans="2:23" x14ac:dyDescent="0.3">
      <c r="B254" s="14">
        <v>249</v>
      </c>
      <c r="C254" s="11"/>
      <c r="D254" s="14"/>
      <c r="E254" s="11"/>
      <c r="F254" s="11"/>
      <c r="G254" s="11"/>
      <c r="H254" s="18">
        <f t="shared" si="30"/>
        <v>0</v>
      </c>
      <c r="I254" s="11"/>
      <c r="J254" s="11"/>
      <c r="K254" s="11"/>
      <c r="L254" s="30" t="e">
        <f t="shared" si="31"/>
        <v>#DIV/0!</v>
      </c>
      <c r="M254" s="11"/>
      <c r="N254" s="11"/>
      <c r="O254" s="18" t="e">
        <f t="shared" si="32"/>
        <v>#DIV/0!</v>
      </c>
      <c r="P254" s="11"/>
      <c r="Q254" s="18">
        <f t="shared" si="33"/>
        <v>0</v>
      </c>
      <c r="R254" s="12"/>
      <c r="S254" s="12"/>
      <c r="T254" s="18" t="e">
        <f t="shared" si="34"/>
        <v>#DIV/0!</v>
      </c>
      <c r="U254" s="11"/>
      <c r="V254" s="11"/>
      <c r="W254" s="18" t="e">
        <f t="shared" si="35"/>
        <v>#DIV/0!</v>
      </c>
    </row>
    <row r="255" spans="2:23" x14ac:dyDescent="0.3">
      <c r="B255" s="14">
        <v>250</v>
      </c>
      <c r="C255" s="11"/>
      <c r="D255" s="14"/>
      <c r="E255" s="11"/>
      <c r="F255" s="11"/>
      <c r="G255" s="11"/>
      <c r="H255" s="18">
        <f t="shared" si="30"/>
        <v>0</v>
      </c>
      <c r="I255" s="11"/>
      <c r="J255" s="11"/>
      <c r="K255" s="11"/>
      <c r="L255" s="30" t="e">
        <f t="shared" si="31"/>
        <v>#DIV/0!</v>
      </c>
      <c r="M255" s="11"/>
      <c r="N255" s="11"/>
      <c r="O255" s="18" t="e">
        <f t="shared" si="32"/>
        <v>#DIV/0!</v>
      </c>
      <c r="P255" s="11"/>
      <c r="Q255" s="18">
        <f t="shared" si="33"/>
        <v>0</v>
      </c>
      <c r="R255" s="12"/>
      <c r="S255" s="12"/>
      <c r="T255" s="18" t="e">
        <f t="shared" si="34"/>
        <v>#DIV/0!</v>
      </c>
      <c r="U255" s="11"/>
      <c r="V255" s="11"/>
      <c r="W255" s="18" t="e">
        <f t="shared" si="35"/>
        <v>#DIV/0!</v>
      </c>
    </row>
    <row r="256" spans="2:23" x14ac:dyDescent="0.3">
      <c r="B256" s="14">
        <v>251</v>
      </c>
      <c r="C256" s="11"/>
      <c r="D256" s="14"/>
      <c r="E256" s="11"/>
      <c r="F256" s="11"/>
      <c r="G256" s="11"/>
      <c r="H256" s="18">
        <f t="shared" si="30"/>
        <v>0</v>
      </c>
      <c r="I256" s="11"/>
      <c r="J256" s="11"/>
      <c r="K256" s="11"/>
      <c r="L256" s="30" t="e">
        <f t="shared" si="31"/>
        <v>#DIV/0!</v>
      </c>
      <c r="M256" s="11"/>
      <c r="N256" s="11"/>
      <c r="O256" s="18" t="e">
        <f t="shared" si="32"/>
        <v>#DIV/0!</v>
      </c>
      <c r="P256" s="11"/>
      <c r="Q256" s="18">
        <f t="shared" si="33"/>
        <v>0</v>
      </c>
      <c r="R256" s="12"/>
      <c r="S256" s="12"/>
      <c r="T256" s="18" t="e">
        <f t="shared" si="34"/>
        <v>#DIV/0!</v>
      </c>
      <c r="U256" s="11"/>
      <c r="V256" s="11"/>
      <c r="W256" s="18" t="e">
        <f t="shared" si="35"/>
        <v>#DIV/0!</v>
      </c>
    </row>
    <row r="257" spans="2:23" x14ac:dyDescent="0.3">
      <c r="B257" s="14">
        <v>252</v>
      </c>
      <c r="C257" s="11"/>
      <c r="D257" s="14"/>
      <c r="E257" s="11"/>
      <c r="F257" s="11"/>
      <c r="G257" s="11"/>
      <c r="H257" s="18">
        <f t="shared" si="30"/>
        <v>0</v>
      </c>
      <c r="I257" s="11"/>
      <c r="J257" s="11"/>
      <c r="K257" s="11"/>
      <c r="L257" s="30" t="e">
        <f t="shared" si="31"/>
        <v>#DIV/0!</v>
      </c>
      <c r="M257" s="11"/>
      <c r="N257" s="11"/>
      <c r="O257" s="18" t="e">
        <f t="shared" si="32"/>
        <v>#DIV/0!</v>
      </c>
      <c r="P257" s="11"/>
      <c r="Q257" s="18">
        <f t="shared" si="33"/>
        <v>0</v>
      </c>
      <c r="R257" s="12"/>
      <c r="S257" s="12"/>
      <c r="T257" s="18" t="e">
        <f t="shared" si="34"/>
        <v>#DIV/0!</v>
      </c>
      <c r="U257" s="11"/>
      <c r="V257" s="11"/>
      <c r="W257" s="18" t="e">
        <f t="shared" si="35"/>
        <v>#DIV/0!</v>
      </c>
    </row>
    <row r="258" spans="2:23" x14ac:dyDescent="0.3">
      <c r="B258" s="14">
        <v>253</v>
      </c>
      <c r="C258" s="11"/>
      <c r="D258" s="14"/>
      <c r="E258" s="11"/>
      <c r="F258" s="11"/>
      <c r="G258" s="11"/>
      <c r="H258" s="18">
        <f t="shared" si="30"/>
        <v>0</v>
      </c>
      <c r="I258" s="11"/>
      <c r="J258" s="11"/>
      <c r="K258" s="11"/>
      <c r="L258" s="30" t="e">
        <f t="shared" si="31"/>
        <v>#DIV/0!</v>
      </c>
      <c r="M258" s="11"/>
      <c r="N258" s="11"/>
      <c r="O258" s="18" t="e">
        <f t="shared" si="32"/>
        <v>#DIV/0!</v>
      </c>
      <c r="P258" s="11"/>
      <c r="Q258" s="18">
        <f t="shared" si="33"/>
        <v>0</v>
      </c>
      <c r="R258" s="12"/>
      <c r="S258" s="12"/>
      <c r="T258" s="18" t="e">
        <f t="shared" si="34"/>
        <v>#DIV/0!</v>
      </c>
      <c r="U258" s="11"/>
      <c r="V258" s="11"/>
      <c r="W258" s="18" t="e">
        <f t="shared" si="35"/>
        <v>#DIV/0!</v>
      </c>
    </row>
    <row r="259" spans="2:23" x14ac:dyDescent="0.3">
      <c r="B259" s="14">
        <v>254</v>
      </c>
      <c r="C259" s="11"/>
      <c r="D259" s="14"/>
      <c r="E259" s="11"/>
      <c r="F259" s="11"/>
      <c r="G259" s="11"/>
      <c r="H259" s="18">
        <f t="shared" si="30"/>
        <v>0</v>
      </c>
      <c r="I259" s="11"/>
      <c r="J259" s="11"/>
      <c r="K259" s="11"/>
      <c r="L259" s="30" t="e">
        <f t="shared" si="31"/>
        <v>#DIV/0!</v>
      </c>
      <c r="M259" s="11"/>
      <c r="N259" s="11"/>
      <c r="O259" s="18" t="e">
        <f t="shared" si="32"/>
        <v>#DIV/0!</v>
      </c>
      <c r="P259" s="11"/>
      <c r="Q259" s="18">
        <f t="shared" si="33"/>
        <v>0</v>
      </c>
      <c r="R259" s="12"/>
      <c r="S259" s="12"/>
      <c r="T259" s="18" t="e">
        <f t="shared" si="34"/>
        <v>#DIV/0!</v>
      </c>
      <c r="U259" s="11"/>
      <c r="V259" s="11"/>
      <c r="W259" s="18" t="e">
        <f t="shared" si="35"/>
        <v>#DIV/0!</v>
      </c>
    </row>
    <row r="260" spans="2:23" x14ac:dyDescent="0.3">
      <c r="B260" s="14">
        <v>255</v>
      </c>
      <c r="C260" s="11"/>
      <c r="D260" s="14"/>
      <c r="E260" s="11"/>
      <c r="F260" s="11"/>
      <c r="G260" s="11"/>
      <c r="H260" s="18">
        <f t="shared" si="30"/>
        <v>0</v>
      </c>
      <c r="I260" s="11"/>
      <c r="J260" s="11"/>
      <c r="K260" s="11"/>
      <c r="L260" s="30" t="e">
        <f t="shared" si="31"/>
        <v>#DIV/0!</v>
      </c>
      <c r="M260" s="11"/>
      <c r="N260" s="11"/>
      <c r="O260" s="18" t="e">
        <f t="shared" si="32"/>
        <v>#DIV/0!</v>
      </c>
      <c r="P260" s="11"/>
      <c r="Q260" s="18">
        <f t="shared" si="33"/>
        <v>0</v>
      </c>
      <c r="R260" s="12"/>
      <c r="S260" s="12"/>
      <c r="T260" s="18" t="e">
        <f t="shared" si="34"/>
        <v>#DIV/0!</v>
      </c>
      <c r="U260" s="11"/>
      <c r="V260" s="11"/>
      <c r="W260" s="18" t="e">
        <f t="shared" si="35"/>
        <v>#DIV/0!</v>
      </c>
    </row>
    <row r="261" spans="2:23" x14ac:dyDescent="0.3">
      <c r="B261" s="14">
        <v>256</v>
      </c>
      <c r="C261" s="11"/>
      <c r="D261" s="14"/>
      <c r="E261" s="11"/>
      <c r="F261" s="11"/>
      <c r="G261" s="11"/>
      <c r="H261" s="18">
        <f t="shared" si="30"/>
        <v>0</v>
      </c>
      <c r="I261" s="11"/>
      <c r="J261" s="11"/>
      <c r="K261" s="11"/>
      <c r="L261" s="30" t="e">
        <f t="shared" si="31"/>
        <v>#DIV/0!</v>
      </c>
      <c r="M261" s="11"/>
      <c r="N261" s="11"/>
      <c r="O261" s="18" t="e">
        <f t="shared" si="32"/>
        <v>#DIV/0!</v>
      </c>
      <c r="P261" s="11"/>
      <c r="Q261" s="18">
        <f t="shared" si="33"/>
        <v>0</v>
      </c>
      <c r="R261" s="12"/>
      <c r="S261" s="12"/>
      <c r="T261" s="18" t="e">
        <f t="shared" si="34"/>
        <v>#DIV/0!</v>
      </c>
      <c r="U261" s="11"/>
      <c r="V261" s="11"/>
      <c r="W261" s="18" t="e">
        <f t="shared" si="35"/>
        <v>#DIV/0!</v>
      </c>
    </row>
    <row r="262" spans="2:23" x14ac:dyDescent="0.3">
      <c r="B262" s="14">
        <v>257</v>
      </c>
      <c r="C262" s="11"/>
      <c r="D262" s="14"/>
      <c r="E262" s="11"/>
      <c r="F262" s="11"/>
      <c r="G262" s="11"/>
      <c r="H262" s="18">
        <f t="shared" si="30"/>
        <v>0</v>
      </c>
      <c r="I262" s="11"/>
      <c r="J262" s="11"/>
      <c r="K262" s="11"/>
      <c r="L262" s="30" t="e">
        <f t="shared" si="31"/>
        <v>#DIV/0!</v>
      </c>
      <c r="M262" s="11"/>
      <c r="N262" s="11"/>
      <c r="O262" s="18" t="e">
        <f t="shared" si="32"/>
        <v>#DIV/0!</v>
      </c>
      <c r="P262" s="11"/>
      <c r="Q262" s="18">
        <f t="shared" si="33"/>
        <v>0</v>
      </c>
      <c r="R262" s="12"/>
      <c r="S262" s="12"/>
      <c r="T262" s="18" t="e">
        <f t="shared" si="34"/>
        <v>#DIV/0!</v>
      </c>
      <c r="U262" s="11"/>
      <c r="V262" s="11"/>
      <c r="W262" s="18" t="e">
        <f t="shared" si="35"/>
        <v>#DIV/0!</v>
      </c>
    </row>
    <row r="263" spans="2:23" x14ac:dyDescent="0.3">
      <c r="B263" s="14">
        <v>258</v>
      </c>
      <c r="C263" s="11"/>
      <c r="D263" s="14"/>
      <c r="E263" s="11"/>
      <c r="F263" s="11"/>
      <c r="G263" s="11"/>
      <c r="H263" s="18">
        <f t="shared" si="30"/>
        <v>0</v>
      </c>
      <c r="I263" s="11"/>
      <c r="J263" s="11"/>
      <c r="K263" s="11"/>
      <c r="L263" s="30" t="e">
        <f t="shared" si="31"/>
        <v>#DIV/0!</v>
      </c>
      <c r="M263" s="11"/>
      <c r="N263" s="11"/>
      <c r="O263" s="18" t="e">
        <f t="shared" si="32"/>
        <v>#DIV/0!</v>
      </c>
      <c r="P263" s="11"/>
      <c r="Q263" s="18">
        <f t="shared" si="33"/>
        <v>0</v>
      </c>
      <c r="R263" s="12"/>
      <c r="S263" s="12"/>
      <c r="T263" s="18" t="e">
        <f t="shared" si="34"/>
        <v>#DIV/0!</v>
      </c>
      <c r="U263" s="11"/>
      <c r="V263" s="11"/>
      <c r="W263" s="18" t="e">
        <f t="shared" si="35"/>
        <v>#DIV/0!</v>
      </c>
    </row>
    <row r="264" spans="2:23" x14ac:dyDescent="0.3">
      <c r="B264" s="14">
        <v>259</v>
      </c>
      <c r="C264" s="11"/>
      <c r="D264" s="14"/>
      <c r="E264" s="11"/>
      <c r="F264" s="11"/>
      <c r="G264" s="11"/>
      <c r="H264" s="18">
        <f t="shared" si="30"/>
        <v>0</v>
      </c>
      <c r="I264" s="11"/>
      <c r="J264" s="11"/>
      <c r="K264" s="11"/>
      <c r="L264" s="30" t="e">
        <f t="shared" si="31"/>
        <v>#DIV/0!</v>
      </c>
      <c r="M264" s="11"/>
      <c r="N264" s="11"/>
      <c r="O264" s="18" t="e">
        <f t="shared" si="32"/>
        <v>#DIV/0!</v>
      </c>
      <c r="P264" s="11"/>
      <c r="Q264" s="18">
        <f t="shared" si="33"/>
        <v>0</v>
      </c>
      <c r="R264" s="12"/>
      <c r="S264" s="12"/>
      <c r="T264" s="18" t="e">
        <f t="shared" si="34"/>
        <v>#DIV/0!</v>
      </c>
      <c r="U264" s="11"/>
      <c r="V264" s="11"/>
      <c r="W264" s="18" t="e">
        <f t="shared" si="35"/>
        <v>#DIV/0!</v>
      </c>
    </row>
    <row r="265" spans="2:23" x14ac:dyDescent="0.3">
      <c r="B265" s="14">
        <v>260</v>
      </c>
      <c r="C265" s="11"/>
      <c r="D265" s="14"/>
      <c r="E265" s="11"/>
      <c r="F265" s="11"/>
      <c r="G265" s="11"/>
      <c r="H265" s="18">
        <f t="shared" si="30"/>
        <v>0</v>
      </c>
      <c r="I265" s="11"/>
      <c r="J265" s="11"/>
      <c r="K265" s="11"/>
      <c r="L265" s="30" t="e">
        <f t="shared" si="31"/>
        <v>#DIV/0!</v>
      </c>
      <c r="M265" s="11"/>
      <c r="N265" s="11"/>
      <c r="O265" s="18" t="e">
        <f t="shared" si="32"/>
        <v>#DIV/0!</v>
      </c>
      <c r="P265" s="11"/>
      <c r="Q265" s="18">
        <f t="shared" si="33"/>
        <v>0</v>
      </c>
      <c r="R265" s="12"/>
      <c r="S265" s="12"/>
      <c r="T265" s="18" t="e">
        <f t="shared" si="34"/>
        <v>#DIV/0!</v>
      </c>
      <c r="U265" s="11"/>
      <c r="V265" s="11"/>
      <c r="W265" s="18" t="e">
        <f t="shared" si="35"/>
        <v>#DIV/0!</v>
      </c>
    </row>
    <row r="266" spans="2:23" x14ac:dyDescent="0.3">
      <c r="B266" s="14">
        <v>261</v>
      </c>
      <c r="C266" s="11"/>
      <c r="D266" s="14"/>
      <c r="E266" s="11"/>
      <c r="F266" s="11"/>
      <c r="G266" s="11"/>
      <c r="H266" s="18">
        <f t="shared" si="30"/>
        <v>0</v>
      </c>
      <c r="I266" s="11"/>
      <c r="J266" s="11"/>
      <c r="K266" s="11"/>
      <c r="L266" s="30" t="e">
        <f t="shared" si="31"/>
        <v>#DIV/0!</v>
      </c>
      <c r="M266" s="11"/>
      <c r="N266" s="11"/>
      <c r="O266" s="18" t="e">
        <f t="shared" si="32"/>
        <v>#DIV/0!</v>
      </c>
      <c r="P266" s="11"/>
      <c r="Q266" s="18">
        <f t="shared" si="33"/>
        <v>0</v>
      </c>
      <c r="R266" s="12"/>
      <c r="S266" s="12"/>
      <c r="T266" s="18" t="e">
        <f t="shared" si="34"/>
        <v>#DIV/0!</v>
      </c>
      <c r="U266" s="11"/>
      <c r="V266" s="11"/>
      <c r="W266" s="18" t="e">
        <f t="shared" si="35"/>
        <v>#DIV/0!</v>
      </c>
    </row>
    <row r="267" spans="2:23" x14ac:dyDescent="0.3">
      <c r="B267" s="14">
        <v>262</v>
      </c>
      <c r="C267" s="11"/>
      <c r="D267" s="14"/>
      <c r="E267" s="11"/>
      <c r="F267" s="11"/>
      <c r="G267" s="11"/>
      <c r="H267" s="18">
        <f t="shared" si="30"/>
        <v>0</v>
      </c>
      <c r="I267" s="11"/>
      <c r="J267" s="11"/>
      <c r="K267" s="11"/>
      <c r="L267" s="30" t="e">
        <f t="shared" si="31"/>
        <v>#DIV/0!</v>
      </c>
      <c r="M267" s="11"/>
      <c r="N267" s="11"/>
      <c r="O267" s="18" t="e">
        <f t="shared" si="32"/>
        <v>#DIV/0!</v>
      </c>
      <c r="P267" s="11"/>
      <c r="Q267" s="18">
        <f t="shared" si="33"/>
        <v>0</v>
      </c>
      <c r="R267" s="12"/>
      <c r="S267" s="12"/>
      <c r="T267" s="18" t="e">
        <f t="shared" si="34"/>
        <v>#DIV/0!</v>
      </c>
      <c r="U267" s="11"/>
      <c r="V267" s="11"/>
      <c r="W267" s="18" t="e">
        <f t="shared" si="35"/>
        <v>#DIV/0!</v>
      </c>
    </row>
    <row r="268" spans="2:23" x14ac:dyDescent="0.3">
      <c r="B268" s="14">
        <v>263</v>
      </c>
      <c r="C268" s="11"/>
      <c r="D268" s="14"/>
      <c r="E268" s="11"/>
      <c r="F268" s="11"/>
      <c r="G268" s="11"/>
      <c r="H268" s="18">
        <f t="shared" si="30"/>
        <v>0</v>
      </c>
      <c r="I268" s="11"/>
      <c r="J268" s="11"/>
      <c r="K268" s="11"/>
      <c r="L268" s="30" t="e">
        <f t="shared" si="31"/>
        <v>#DIV/0!</v>
      </c>
      <c r="M268" s="11"/>
      <c r="N268" s="11"/>
      <c r="O268" s="18" t="e">
        <f t="shared" si="32"/>
        <v>#DIV/0!</v>
      </c>
      <c r="P268" s="11"/>
      <c r="Q268" s="18">
        <f t="shared" si="33"/>
        <v>0</v>
      </c>
      <c r="R268" s="12"/>
      <c r="S268" s="12"/>
      <c r="T268" s="18" t="e">
        <f t="shared" si="34"/>
        <v>#DIV/0!</v>
      </c>
      <c r="U268" s="11"/>
      <c r="V268" s="11"/>
      <c r="W268" s="18" t="e">
        <f t="shared" si="35"/>
        <v>#DIV/0!</v>
      </c>
    </row>
    <row r="269" spans="2:23" x14ac:dyDescent="0.3">
      <c r="B269" s="14">
        <v>264</v>
      </c>
      <c r="C269" s="11"/>
      <c r="D269" s="14"/>
      <c r="E269" s="11"/>
      <c r="F269" s="11"/>
      <c r="G269" s="11"/>
      <c r="H269" s="18">
        <f t="shared" si="30"/>
        <v>0</v>
      </c>
      <c r="I269" s="11"/>
      <c r="J269" s="11"/>
      <c r="K269" s="11"/>
      <c r="L269" s="30" t="e">
        <f t="shared" si="31"/>
        <v>#DIV/0!</v>
      </c>
      <c r="M269" s="11"/>
      <c r="N269" s="11"/>
      <c r="O269" s="18" t="e">
        <f t="shared" si="32"/>
        <v>#DIV/0!</v>
      </c>
      <c r="P269" s="11"/>
      <c r="Q269" s="18">
        <f t="shared" si="33"/>
        <v>0</v>
      </c>
      <c r="R269" s="12"/>
      <c r="S269" s="12"/>
      <c r="T269" s="18" t="e">
        <f t="shared" si="34"/>
        <v>#DIV/0!</v>
      </c>
      <c r="U269" s="11"/>
      <c r="V269" s="11"/>
      <c r="W269" s="18" t="e">
        <f t="shared" si="35"/>
        <v>#DIV/0!</v>
      </c>
    </row>
    <row r="270" spans="2:23" x14ac:dyDescent="0.3">
      <c r="B270" s="14">
        <v>265</v>
      </c>
      <c r="C270" s="11"/>
      <c r="D270" s="14"/>
      <c r="E270" s="11"/>
      <c r="F270" s="11"/>
      <c r="G270" s="11"/>
      <c r="H270" s="18">
        <f t="shared" si="30"/>
        <v>0</v>
      </c>
      <c r="I270" s="11"/>
      <c r="J270" s="11"/>
      <c r="K270" s="11"/>
      <c r="L270" s="30" t="e">
        <f t="shared" si="31"/>
        <v>#DIV/0!</v>
      </c>
      <c r="M270" s="11"/>
      <c r="N270" s="11"/>
      <c r="O270" s="18" t="e">
        <f t="shared" si="32"/>
        <v>#DIV/0!</v>
      </c>
      <c r="P270" s="11"/>
      <c r="Q270" s="18">
        <f t="shared" si="33"/>
        <v>0</v>
      </c>
      <c r="R270" s="12"/>
      <c r="S270" s="12"/>
      <c r="T270" s="18" t="e">
        <f t="shared" si="34"/>
        <v>#DIV/0!</v>
      </c>
      <c r="U270" s="11"/>
      <c r="V270" s="11"/>
      <c r="W270" s="18" t="e">
        <f t="shared" si="35"/>
        <v>#DIV/0!</v>
      </c>
    </row>
    <row r="271" spans="2:23" x14ac:dyDescent="0.3">
      <c r="B271" s="14">
        <v>266</v>
      </c>
      <c r="C271" s="11"/>
      <c r="D271" s="14"/>
      <c r="E271" s="11"/>
      <c r="F271" s="11"/>
      <c r="G271" s="11"/>
      <c r="H271" s="18">
        <f t="shared" si="30"/>
        <v>0</v>
      </c>
      <c r="I271" s="11"/>
      <c r="J271" s="11"/>
      <c r="K271" s="11"/>
      <c r="L271" s="30" t="e">
        <f t="shared" si="31"/>
        <v>#DIV/0!</v>
      </c>
      <c r="M271" s="11"/>
      <c r="N271" s="11"/>
      <c r="O271" s="18" t="e">
        <f t="shared" si="32"/>
        <v>#DIV/0!</v>
      </c>
      <c r="P271" s="11"/>
      <c r="Q271" s="18">
        <f t="shared" si="33"/>
        <v>0</v>
      </c>
      <c r="R271" s="12"/>
      <c r="S271" s="12"/>
      <c r="T271" s="18" t="e">
        <f t="shared" si="34"/>
        <v>#DIV/0!</v>
      </c>
      <c r="U271" s="11"/>
      <c r="V271" s="11"/>
      <c r="W271" s="18" t="e">
        <f t="shared" si="35"/>
        <v>#DIV/0!</v>
      </c>
    </row>
    <row r="272" spans="2:23" x14ac:dyDescent="0.3">
      <c r="B272" s="14">
        <v>267</v>
      </c>
      <c r="C272" s="11"/>
      <c r="D272" s="14"/>
      <c r="E272" s="11"/>
      <c r="F272" s="11"/>
      <c r="G272" s="11"/>
      <c r="H272" s="18">
        <f t="shared" si="30"/>
        <v>0</v>
      </c>
      <c r="I272" s="11"/>
      <c r="J272" s="11"/>
      <c r="K272" s="11"/>
      <c r="L272" s="30" t="e">
        <f t="shared" si="31"/>
        <v>#DIV/0!</v>
      </c>
      <c r="M272" s="11"/>
      <c r="N272" s="11"/>
      <c r="O272" s="18" t="e">
        <f t="shared" si="32"/>
        <v>#DIV/0!</v>
      </c>
      <c r="P272" s="11"/>
      <c r="Q272" s="18">
        <f t="shared" si="33"/>
        <v>0</v>
      </c>
      <c r="R272" s="12"/>
      <c r="S272" s="12"/>
      <c r="T272" s="18" t="e">
        <f t="shared" si="34"/>
        <v>#DIV/0!</v>
      </c>
      <c r="U272" s="11"/>
      <c r="V272" s="11"/>
      <c r="W272" s="18" t="e">
        <f t="shared" si="35"/>
        <v>#DIV/0!</v>
      </c>
    </row>
    <row r="273" spans="2:23" x14ac:dyDescent="0.3">
      <c r="B273" s="14">
        <v>268</v>
      </c>
      <c r="C273" s="11"/>
      <c r="D273" s="14"/>
      <c r="E273" s="11"/>
      <c r="F273" s="11"/>
      <c r="G273" s="11"/>
      <c r="H273" s="18">
        <f t="shared" si="30"/>
        <v>0</v>
      </c>
      <c r="I273" s="11"/>
      <c r="J273" s="11"/>
      <c r="K273" s="11"/>
      <c r="L273" s="30" t="e">
        <f t="shared" si="31"/>
        <v>#DIV/0!</v>
      </c>
      <c r="M273" s="11"/>
      <c r="N273" s="11"/>
      <c r="O273" s="18" t="e">
        <f t="shared" si="32"/>
        <v>#DIV/0!</v>
      </c>
      <c r="P273" s="11"/>
      <c r="Q273" s="18">
        <f t="shared" si="33"/>
        <v>0</v>
      </c>
      <c r="R273" s="12"/>
      <c r="S273" s="12"/>
      <c r="T273" s="18" t="e">
        <f t="shared" si="34"/>
        <v>#DIV/0!</v>
      </c>
      <c r="U273" s="11"/>
      <c r="V273" s="11"/>
      <c r="W273" s="18" t="e">
        <f t="shared" si="35"/>
        <v>#DIV/0!</v>
      </c>
    </row>
    <row r="274" spans="2:23" x14ac:dyDescent="0.3">
      <c r="B274" s="14">
        <v>269</v>
      </c>
      <c r="C274" s="11"/>
      <c r="D274" s="14"/>
      <c r="E274" s="11"/>
      <c r="F274" s="11"/>
      <c r="G274" s="11"/>
      <c r="H274" s="18">
        <f t="shared" si="30"/>
        <v>0</v>
      </c>
      <c r="I274" s="11"/>
      <c r="J274" s="11"/>
      <c r="K274" s="11"/>
      <c r="L274" s="30" t="e">
        <f t="shared" si="31"/>
        <v>#DIV/0!</v>
      </c>
      <c r="M274" s="11"/>
      <c r="N274" s="11"/>
      <c r="O274" s="18" t="e">
        <f t="shared" si="32"/>
        <v>#DIV/0!</v>
      </c>
      <c r="P274" s="11"/>
      <c r="Q274" s="18">
        <f t="shared" si="33"/>
        <v>0</v>
      </c>
      <c r="R274" s="12"/>
      <c r="S274" s="12"/>
      <c r="T274" s="18" t="e">
        <f t="shared" si="34"/>
        <v>#DIV/0!</v>
      </c>
      <c r="U274" s="11"/>
      <c r="V274" s="11"/>
      <c r="W274" s="18" t="e">
        <f t="shared" si="35"/>
        <v>#DIV/0!</v>
      </c>
    </row>
    <row r="275" spans="2:23" x14ac:dyDescent="0.3">
      <c r="B275" s="14">
        <v>270</v>
      </c>
      <c r="C275" s="11"/>
      <c r="D275" s="14"/>
      <c r="E275" s="11"/>
      <c r="F275" s="11"/>
      <c r="G275" s="11"/>
      <c r="H275" s="18">
        <f t="shared" si="30"/>
        <v>0</v>
      </c>
      <c r="I275" s="11"/>
      <c r="J275" s="11"/>
      <c r="K275" s="11"/>
      <c r="L275" s="30" t="e">
        <f t="shared" si="31"/>
        <v>#DIV/0!</v>
      </c>
      <c r="M275" s="11"/>
      <c r="N275" s="11"/>
      <c r="O275" s="18" t="e">
        <f t="shared" si="32"/>
        <v>#DIV/0!</v>
      </c>
      <c r="P275" s="11"/>
      <c r="Q275" s="18">
        <f t="shared" si="33"/>
        <v>0</v>
      </c>
      <c r="R275" s="12"/>
      <c r="S275" s="12"/>
      <c r="T275" s="18" t="e">
        <f t="shared" si="34"/>
        <v>#DIV/0!</v>
      </c>
      <c r="U275" s="11"/>
      <c r="V275" s="11"/>
      <c r="W275" s="18" t="e">
        <f t="shared" si="35"/>
        <v>#DIV/0!</v>
      </c>
    </row>
    <row r="276" spans="2:23" x14ac:dyDescent="0.3">
      <c r="B276" s="14">
        <v>271</v>
      </c>
      <c r="C276" s="11"/>
      <c r="D276" s="14"/>
      <c r="E276" s="11"/>
      <c r="F276" s="11"/>
      <c r="G276" s="11"/>
      <c r="H276" s="18">
        <f t="shared" si="30"/>
        <v>0</v>
      </c>
      <c r="I276" s="11"/>
      <c r="J276" s="11"/>
      <c r="K276" s="11"/>
      <c r="L276" s="30" t="e">
        <f t="shared" si="31"/>
        <v>#DIV/0!</v>
      </c>
      <c r="M276" s="11"/>
      <c r="N276" s="11"/>
      <c r="O276" s="18" t="e">
        <f t="shared" si="32"/>
        <v>#DIV/0!</v>
      </c>
      <c r="P276" s="11"/>
      <c r="Q276" s="18">
        <f t="shared" si="33"/>
        <v>0</v>
      </c>
      <c r="R276" s="12"/>
      <c r="S276" s="12"/>
      <c r="T276" s="18" t="e">
        <f t="shared" si="34"/>
        <v>#DIV/0!</v>
      </c>
      <c r="U276" s="11"/>
      <c r="V276" s="11"/>
      <c r="W276" s="18" t="e">
        <f t="shared" si="35"/>
        <v>#DIV/0!</v>
      </c>
    </row>
    <row r="277" spans="2:23" x14ac:dyDescent="0.3">
      <c r="B277" s="14">
        <v>272</v>
      </c>
      <c r="C277" s="11"/>
      <c r="D277" s="14"/>
      <c r="E277" s="11"/>
      <c r="F277" s="11"/>
      <c r="G277" s="11"/>
      <c r="H277" s="18">
        <f t="shared" si="30"/>
        <v>0</v>
      </c>
      <c r="I277" s="11"/>
      <c r="J277" s="11"/>
      <c r="K277" s="11"/>
      <c r="L277" s="30" t="e">
        <f t="shared" si="31"/>
        <v>#DIV/0!</v>
      </c>
      <c r="M277" s="11"/>
      <c r="N277" s="11"/>
      <c r="O277" s="18" t="e">
        <f t="shared" si="32"/>
        <v>#DIV/0!</v>
      </c>
      <c r="P277" s="11"/>
      <c r="Q277" s="18">
        <f t="shared" si="33"/>
        <v>0</v>
      </c>
      <c r="R277" s="12"/>
      <c r="S277" s="12"/>
      <c r="T277" s="18" t="e">
        <f t="shared" si="34"/>
        <v>#DIV/0!</v>
      </c>
      <c r="U277" s="11"/>
      <c r="V277" s="11"/>
      <c r="W277" s="18" t="e">
        <f t="shared" si="35"/>
        <v>#DIV/0!</v>
      </c>
    </row>
    <row r="278" spans="2:23" x14ac:dyDescent="0.3">
      <c r="B278" s="14">
        <v>273</v>
      </c>
      <c r="C278" s="11"/>
      <c r="D278" s="14"/>
      <c r="E278" s="11"/>
      <c r="F278" s="11"/>
      <c r="G278" s="11"/>
      <c r="H278" s="18">
        <f t="shared" si="30"/>
        <v>0</v>
      </c>
      <c r="I278" s="11"/>
      <c r="J278" s="11"/>
      <c r="K278" s="11"/>
      <c r="L278" s="30" t="e">
        <f t="shared" si="31"/>
        <v>#DIV/0!</v>
      </c>
      <c r="M278" s="11"/>
      <c r="N278" s="11"/>
      <c r="O278" s="18" t="e">
        <f t="shared" si="32"/>
        <v>#DIV/0!</v>
      </c>
      <c r="P278" s="11"/>
      <c r="Q278" s="18">
        <f t="shared" si="33"/>
        <v>0</v>
      </c>
      <c r="R278" s="12"/>
      <c r="S278" s="12"/>
      <c r="T278" s="18" t="e">
        <f t="shared" si="34"/>
        <v>#DIV/0!</v>
      </c>
      <c r="U278" s="11"/>
      <c r="V278" s="11"/>
      <c r="W278" s="18" t="e">
        <f t="shared" si="35"/>
        <v>#DIV/0!</v>
      </c>
    </row>
    <row r="279" spans="2:23" x14ac:dyDescent="0.3">
      <c r="B279" s="14">
        <v>274</v>
      </c>
      <c r="C279" s="11"/>
      <c r="D279" s="14"/>
      <c r="E279" s="11"/>
      <c r="F279" s="11"/>
      <c r="G279" s="11"/>
      <c r="H279" s="18">
        <f t="shared" si="30"/>
        <v>0</v>
      </c>
      <c r="I279" s="11"/>
      <c r="J279" s="11"/>
      <c r="K279" s="11"/>
      <c r="L279" s="30" t="e">
        <f t="shared" si="31"/>
        <v>#DIV/0!</v>
      </c>
      <c r="M279" s="11"/>
      <c r="N279" s="11"/>
      <c r="O279" s="18" t="e">
        <f t="shared" si="32"/>
        <v>#DIV/0!</v>
      </c>
      <c r="P279" s="11"/>
      <c r="Q279" s="18">
        <f t="shared" si="33"/>
        <v>0</v>
      </c>
      <c r="R279" s="12"/>
      <c r="S279" s="12"/>
      <c r="T279" s="18" t="e">
        <f t="shared" si="34"/>
        <v>#DIV/0!</v>
      </c>
      <c r="U279" s="11"/>
      <c r="V279" s="11"/>
      <c r="W279" s="18" t="e">
        <f t="shared" si="35"/>
        <v>#DIV/0!</v>
      </c>
    </row>
    <row r="280" spans="2:23" x14ac:dyDescent="0.3">
      <c r="B280" s="14">
        <v>275</v>
      </c>
      <c r="C280" s="11"/>
      <c r="D280" s="14"/>
      <c r="E280" s="11"/>
      <c r="F280" s="11"/>
      <c r="G280" s="11"/>
      <c r="H280" s="18">
        <f t="shared" si="30"/>
        <v>0</v>
      </c>
      <c r="I280" s="11"/>
      <c r="J280" s="11"/>
      <c r="K280" s="11"/>
      <c r="L280" s="30" t="e">
        <f t="shared" si="31"/>
        <v>#DIV/0!</v>
      </c>
      <c r="M280" s="11"/>
      <c r="N280" s="11"/>
      <c r="O280" s="18" t="e">
        <f t="shared" si="32"/>
        <v>#DIV/0!</v>
      </c>
      <c r="P280" s="11"/>
      <c r="Q280" s="18">
        <f t="shared" si="33"/>
        <v>0</v>
      </c>
      <c r="R280" s="12"/>
      <c r="S280" s="12"/>
      <c r="T280" s="18" t="e">
        <f t="shared" si="34"/>
        <v>#DIV/0!</v>
      </c>
      <c r="U280" s="11"/>
      <c r="V280" s="11"/>
      <c r="W280" s="18" t="e">
        <f t="shared" si="35"/>
        <v>#DIV/0!</v>
      </c>
    </row>
    <row r="281" spans="2:23" x14ac:dyDescent="0.3">
      <c r="B281" s="14">
        <v>276</v>
      </c>
      <c r="C281" s="11"/>
      <c r="D281" s="14"/>
      <c r="E281" s="11"/>
      <c r="F281" s="11"/>
      <c r="G281" s="11"/>
      <c r="H281" s="18">
        <f t="shared" si="30"/>
        <v>0</v>
      </c>
      <c r="I281" s="11"/>
      <c r="J281" s="11"/>
      <c r="K281" s="11"/>
      <c r="L281" s="30" t="e">
        <f t="shared" si="31"/>
        <v>#DIV/0!</v>
      </c>
      <c r="M281" s="11"/>
      <c r="N281" s="11"/>
      <c r="O281" s="18" t="e">
        <f t="shared" si="32"/>
        <v>#DIV/0!</v>
      </c>
      <c r="P281" s="11"/>
      <c r="Q281" s="18">
        <f t="shared" si="33"/>
        <v>0</v>
      </c>
      <c r="R281" s="12"/>
      <c r="S281" s="12"/>
      <c r="T281" s="18" t="e">
        <f t="shared" si="34"/>
        <v>#DIV/0!</v>
      </c>
      <c r="U281" s="11"/>
      <c r="V281" s="11"/>
      <c r="W281" s="18" t="e">
        <f t="shared" si="35"/>
        <v>#DIV/0!</v>
      </c>
    </row>
    <row r="282" spans="2:23" x14ac:dyDescent="0.3">
      <c r="B282" s="14">
        <v>277</v>
      </c>
      <c r="C282" s="11"/>
      <c r="D282" s="14"/>
      <c r="E282" s="11"/>
      <c r="F282" s="11"/>
      <c r="G282" s="11"/>
      <c r="H282" s="18">
        <f t="shared" si="30"/>
        <v>0</v>
      </c>
      <c r="I282" s="11"/>
      <c r="J282" s="11"/>
      <c r="K282" s="11"/>
      <c r="L282" s="30" t="e">
        <f t="shared" si="31"/>
        <v>#DIV/0!</v>
      </c>
      <c r="M282" s="11"/>
      <c r="N282" s="11"/>
      <c r="O282" s="18" t="e">
        <f t="shared" si="32"/>
        <v>#DIV/0!</v>
      </c>
      <c r="P282" s="11"/>
      <c r="Q282" s="18">
        <f t="shared" si="33"/>
        <v>0</v>
      </c>
      <c r="R282" s="12"/>
      <c r="S282" s="12"/>
      <c r="T282" s="18" t="e">
        <f t="shared" si="34"/>
        <v>#DIV/0!</v>
      </c>
      <c r="U282" s="11"/>
      <c r="V282" s="11"/>
      <c r="W282" s="18" t="e">
        <f t="shared" si="35"/>
        <v>#DIV/0!</v>
      </c>
    </row>
    <row r="283" spans="2:23" x14ac:dyDescent="0.3">
      <c r="B283" s="14">
        <v>278</v>
      </c>
      <c r="C283" s="11"/>
      <c r="D283" s="14"/>
      <c r="E283" s="11"/>
      <c r="F283" s="11"/>
      <c r="G283" s="11"/>
      <c r="H283" s="18">
        <f t="shared" si="30"/>
        <v>0</v>
      </c>
      <c r="I283" s="11"/>
      <c r="J283" s="11"/>
      <c r="K283" s="11"/>
      <c r="L283" s="30" t="e">
        <f t="shared" si="31"/>
        <v>#DIV/0!</v>
      </c>
      <c r="M283" s="11"/>
      <c r="N283" s="11"/>
      <c r="O283" s="18" t="e">
        <f t="shared" si="32"/>
        <v>#DIV/0!</v>
      </c>
      <c r="P283" s="11"/>
      <c r="Q283" s="18">
        <f t="shared" si="33"/>
        <v>0</v>
      </c>
      <c r="R283" s="12"/>
      <c r="S283" s="12"/>
      <c r="T283" s="18" t="e">
        <f t="shared" si="34"/>
        <v>#DIV/0!</v>
      </c>
      <c r="U283" s="11"/>
      <c r="V283" s="11"/>
      <c r="W283" s="18" t="e">
        <f t="shared" si="35"/>
        <v>#DIV/0!</v>
      </c>
    </row>
    <row r="284" spans="2:23" x14ac:dyDescent="0.3">
      <c r="B284" s="14">
        <v>279</v>
      </c>
      <c r="C284" s="11"/>
      <c r="D284" s="14"/>
      <c r="E284" s="11"/>
      <c r="F284" s="11"/>
      <c r="G284" s="11"/>
      <c r="H284" s="18">
        <f t="shared" si="30"/>
        <v>0</v>
      </c>
      <c r="I284" s="11"/>
      <c r="J284" s="11"/>
      <c r="K284" s="11"/>
      <c r="L284" s="30" t="e">
        <f t="shared" si="31"/>
        <v>#DIV/0!</v>
      </c>
      <c r="M284" s="11"/>
      <c r="N284" s="11"/>
      <c r="O284" s="18" t="e">
        <f t="shared" si="32"/>
        <v>#DIV/0!</v>
      </c>
      <c r="P284" s="11"/>
      <c r="Q284" s="18">
        <f t="shared" si="33"/>
        <v>0</v>
      </c>
      <c r="R284" s="12"/>
      <c r="S284" s="12"/>
      <c r="T284" s="18" t="e">
        <f t="shared" si="34"/>
        <v>#DIV/0!</v>
      </c>
      <c r="U284" s="11"/>
      <c r="V284" s="11"/>
      <c r="W284" s="18" t="e">
        <f t="shared" si="35"/>
        <v>#DIV/0!</v>
      </c>
    </row>
    <row r="285" spans="2:23" x14ac:dyDescent="0.3">
      <c r="B285" s="14">
        <v>280</v>
      </c>
      <c r="C285" s="11"/>
      <c r="D285" s="14"/>
      <c r="E285" s="11"/>
      <c r="F285" s="11"/>
      <c r="G285" s="11"/>
      <c r="H285" s="18">
        <f t="shared" si="30"/>
        <v>0</v>
      </c>
      <c r="I285" s="11"/>
      <c r="J285" s="11"/>
      <c r="K285" s="11"/>
      <c r="L285" s="30" t="e">
        <f t="shared" si="31"/>
        <v>#DIV/0!</v>
      </c>
      <c r="M285" s="11"/>
      <c r="N285" s="11"/>
      <c r="O285" s="18" t="e">
        <f t="shared" si="32"/>
        <v>#DIV/0!</v>
      </c>
      <c r="P285" s="11"/>
      <c r="Q285" s="18">
        <f t="shared" si="33"/>
        <v>0</v>
      </c>
      <c r="R285" s="12"/>
      <c r="S285" s="12"/>
      <c r="T285" s="18" t="e">
        <f t="shared" si="34"/>
        <v>#DIV/0!</v>
      </c>
      <c r="U285" s="11"/>
      <c r="V285" s="11"/>
      <c r="W285" s="18" t="e">
        <f t="shared" si="35"/>
        <v>#DIV/0!</v>
      </c>
    </row>
    <row r="286" spans="2:23" x14ac:dyDescent="0.3">
      <c r="B286" s="14">
        <v>281</v>
      </c>
      <c r="C286" s="11"/>
      <c r="D286" s="14"/>
      <c r="E286" s="11"/>
      <c r="F286" s="11"/>
      <c r="G286" s="11"/>
      <c r="H286" s="18">
        <f t="shared" si="30"/>
        <v>0</v>
      </c>
      <c r="I286" s="11"/>
      <c r="J286" s="11"/>
      <c r="K286" s="11"/>
      <c r="L286" s="30" t="e">
        <f t="shared" si="31"/>
        <v>#DIV/0!</v>
      </c>
      <c r="M286" s="11"/>
      <c r="N286" s="11"/>
      <c r="O286" s="18" t="e">
        <f t="shared" si="32"/>
        <v>#DIV/0!</v>
      </c>
      <c r="P286" s="11"/>
      <c r="Q286" s="18">
        <f t="shared" si="33"/>
        <v>0</v>
      </c>
      <c r="R286" s="12"/>
      <c r="S286" s="12"/>
      <c r="T286" s="18" t="e">
        <f t="shared" si="34"/>
        <v>#DIV/0!</v>
      </c>
      <c r="U286" s="11"/>
      <c r="V286" s="11"/>
      <c r="W286" s="18" t="e">
        <f t="shared" si="35"/>
        <v>#DIV/0!</v>
      </c>
    </row>
    <row r="287" spans="2:23" x14ac:dyDescent="0.3">
      <c r="B287" s="14">
        <v>282</v>
      </c>
      <c r="C287" s="11"/>
      <c r="D287" s="14"/>
      <c r="E287" s="11"/>
      <c r="F287" s="11"/>
      <c r="G287" s="11"/>
      <c r="H287" s="18">
        <f t="shared" si="30"/>
        <v>0</v>
      </c>
      <c r="I287" s="11"/>
      <c r="J287" s="11"/>
      <c r="K287" s="11"/>
      <c r="L287" s="30" t="e">
        <f t="shared" si="31"/>
        <v>#DIV/0!</v>
      </c>
      <c r="M287" s="11"/>
      <c r="N287" s="11"/>
      <c r="O287" s="18" t="e">
        <f t="shared" si="32"/>
        <v>#DIV/0!</v>
      </c>
      <c r="P287" s="11"/>
      <c r="Q287" s="18">
        <f t="shared" si="33"/>
        <v>0</v>
      </c>
      <c r="R287" s="12"/>
      <c r="S287" s="12"/>
      <c r="T287" s="18" t="e">
        <f t="shared" si="34"/>
        <v>#DIV/0!</v>
      </c>
      <c r="U287" s="11"/>
      <c r="V287" s="11"/>
      <c r="W287" s="18" t="e">
        <f t="shared" si="35"/>
        <v>#DIV/0!</v>
      </c>
    </row>
    <row r="288" spans="2:23" x14ac:dyDescent="0.3">
      <c r="B288" s="14">
        <v>283</v>
      </c>
      <c r="C288" s="11"/>
      <c r="D288" s="14"/>
      <c r="E288" s="11"/>
      <c r="F288" s="11"/>
      <c r="G288" s="11"/>
      <c r="H288" s="18">
        <f t="shared" si="30"/>
        <v>0</v>
      </c>
      <c r="I288" s="11"/>
      <c r="J288" s="11"/>
      <c r="K288" s="11"/>
      <c r="L288" s="30" t="e">
        <f t="shared" si="31"/>
        <v>#DIV/0!</v>
      </c>
      <c r="M288" s="11"/>
      <c r="N288" s="11"/>
      <c r="O288" s="18" t="e">
        <f t="shared" si="32"/>
        <v>#DIV/0!</v>
      </c>
      <c r="P288" s="11"/>
      <c r="Q288" s="18">
        <f t="shared" si="33"/>
        <v>0</v>
      </c>
      <c r="R288" s="12"/>
      <c r="S288" s="12"/>
      <c r="T288" s="18" t="e">
        <f t="shared" si="34"/>
        <v>#DIV/0!</v>
      </c>
      <c r="U288" s="11"/>
      <c r="V288" s="11"/>
      <c r="W288" s="18" t="e">
        <f t="shared" si="35"/>
        <v>#DIV/0!</v>
      </c>
    </row>
    <row r="289" spans="2:23" x14ac:dyDescent="0.3">
      <c r="B289" s="14">
        <v>284</v>
      </c>
      <c r="C289" s="11"/>
      <c r="D289" s="14"/>
      <c r="E289" s="11"/>
      <c r="F289" s="11"/>
      <c r="G289" s="11"/>
      <c r="H289" s="18">
        <f t="shared" si="30"/>
        <v>0</v>
      </c>
      <c r="I289" s="11"/>
      <c r="J289" s="11"/>
      <c r="K289" s="11"/>
      <c r="L289" s="30" t="e">
        <f t="shared" si="31"/>
        <v>#DIV/0!</v>
      </c>
      <c r="M289" s="11"/>
      <c r="N289" s="11"/>
      <c r="O289" s="18" t="e">
        <f t="shared" si="32"/>
        <v>#DIV/0!</v>
      </c>
      <c r="P289" s="11"/>
      <c r="Q289" s="18">
        <f t="shared" si="33"/>
        <v>0</v>
      </c>
      <c r="R289" s="12"/>
      <c r="S289" s="12"/>
      <c r="T289" s="18" t="e">
        <f t="shared" si="34"/>
        <v>#DIV/0!</v>
      </c>
      <c r="U289" s="11"/>
      <c r="V289" s="11"/>
      <c r="W289" s="18" t="e">
        <f t="shared" si="35"/>
        <v>#DIV/0!</v>
      </c>
    </row>
    <row r="290" spans="2:23" x14ac:dyDescent="0.3">
      <c r="B290" s="14">
        <v>285</v>
      </c>
      <c r="C290" s="11"/>
      <c r="D290" s="14"/>
      <c r="E290" s="11"/>
      <c r="F290" s="11"/>
      <c r="G290" s="11"/>
      <c r="H290" s="18">
        <f t="shared" si="30"/>
        <v>0</v>
      </c>
      <c r="I290" s="11"/>
      <c r="J290" s="11"/>
      <c r="K290" s="11"/>
      <c r="L290" s="30" t="e">
        <f t="shared" si="31"/>
        <v>#DIV/0!</v>
      </c>
      <c r="M290" s="11"/>
      <c r="N290" s="11"/>
      <c r="O290" s="18" t="e">
        <f t="shared" si="32"/>
        <v>#DIV/0!</v>
      </c>
      <c r="P290" s="11"/>
      <c r="Q290" s="18">
        <f t="shared" si="33"/>
        <v>0</v>
      </c>
      <c r="R290" s="12"/>
      <c r="S290" s="12"/>
      <c r="T290" s="18" t="e">
        <f t="shared" si="34"/>
        <v>#DIV/0!</v>
      </c>
      <c r="U290" s="11"/>
      <c r="V290" s="11"/>
      <c r="W290" s="18" t="e">
        <f t="shared" si="35"/>
        <v>#DIV/0!</v>
      </c>
    </row>
    <row r="291" spans="2:23" x14ac:dyDescent="0.3">
      <c r="B291" s="14">
        <v>286</v>
      </c>
      <c r="C291" s="11"/>
      <c r="D291" s="14"/>
      <c r="E291" s="11"/>
      <c r="F291" s="11"/>
      <c r="G291" s="11"/>
      <c r="H291" s="18">
        <f t="shared" si="30"/>
        <v>0</v>
      </c>
      <c r="I291" s="11"/>
      <c r="J291" s="11"/>
      <c r="K291" s="11"/>
      <c r="L291" s="30" t="e">
        <f t="shared" si="31"/>
        <v>#DIV/0!</v>
      </c>
      <c r="M291" s="11"/>
      <c r="N291" s="11"/>
      <c r="O291" s="18" t="e">
        <f t="shared" si="32"/>
        <v>#DIV/0!</v>
      </c>
      <c r="P291" s="11"/>
      <c r="Q291" s="18">
        <f t="shared" si="33"/>
        <v>0</v>
      </c>
      <c r="R291" s="12"/>
      <c r="S291" s="12"/>
      <c r="T291" s="18" t="e">
        <f t="shared" si="34"/>
        <v>#DIV/0!</v>
      </c>
      <c r="U291" s="11"/>
      <c r="V291" s="11"/>
      <c r="W291" s="18" t="e">
        <f t="shared" si="35"/>
        <v>#DIV/0!</v>
      </c>
    </row>
    <row r="292" spans="2:23" x14ac:dyDescent="0.3">
      <c r="B292" s="14">
        <v>287</v>
      </c>
      <c r="C292" s="11"/>
      <c r="D292" s="14"/>
      <c r="E292" s="11"/>
      <c r="F292" s="11"/>
      <c r="G292" s="11"/>
      <c r="H292" s="18">
        <f t="shared" si="30"/>
        <v>0</v>
      </c>
      <c r="I292" s="11"/>
      <c r="J292" s="11"/>
      <c r="K292" s="11"/>
      <c r="L292" s="30" t="e">
        <f t="shared" si="31"/>
        <v>#DIV/0!</v>
      </c>
      <c r="M292" s="11"/>
      <c r="N292" s="11"/>
      <c r="O292" s="18" t="e">
        <f t="shared" si="32"/>
        <v>#DIV/0!</v>
      </c>
      <c r="P292" s="11"/>
      <c r="Q292" s="18">
        <f t="shared" si="33"/>
        <v>0</v>
      </c>
      <c r="R292" s="12"/>
      <c r="S292" s="12"/>
      <c r="T292" s="18" t="e">
        <f t="shared" si="34"/>
        <v>#DIV/0!</v>
      </c>
      <c r="U292" s="11"/>
      <c r="V292" s="11"/>
      <c r="W292" s="18" t="e">
        <f t="shared" si="35"/>
        <v>#DIV/0!</v>
      </c>
    </row>
    <row r="293" spans="2:23" x14ac:dyDescent="0.3">
      <c r="B293" s="14">
        <v>288</v>
      </c>
      <c r="C293" s="11"/>
      <c r="D293" s="14"/>
      <c r="E293" s="11"/>
      <c r="F293" s="11"/>
      <c r="G293" s="11"/>
      <c r="H293" s="18">
        <f t="shared" si="30"/>
        <v>0</v>
      </c>
      <c r="I293" s="11"/>
      <c r="J293" s="11"/>
      <c r="K293" s="11"/>
      <c r="L293" s="30" t="e">
        <f t="shared" si="31"/>
        <v>#DIV/0!</v>
      </c>
      <c r="M293" s="11"/>
      <c r="N293" s="11"/>
      <c r="O293" s="18" t="e">
        <f t="shared" si="32"/>
        <v>#DIV/0!</v>
      </c>
      <c r="P293" s="11"/>
      <c r="Q293" s="18">
        <f t="shared" si="33"/>
        <v>0</v>
      </c>
      <c r="R293" s="12"/>
      <c r="S293" s="12"/>
      <c r="T293" s="18" t="e">
        <f t="shared" si="34"/>
        <v>#DIV/0!</v>
      </c>
      <c r="U293" s="11"/>
      <c r="V293" s="11"/>
      <c r="W293" s="18" t="e">
        <f t="shared" si="35"/>
        <v>#DIV/0!</v>
      </c>
    </row>
    <row r="294" spans="2:23" x14ac:dyDescent="0.3">
      <c r="B294" s="14">
        <v>289</v>
      </c>
      <c r="C294" s="11"/>
      <c r="D294" s="14"/>
      <c r="E294" s="11"/>
      <c r="F294" s="11"/>
      <c r="G294" s="11"/>
      <c r="H294" s="18">
        <f t="shared" si="30"/>
        <v>0</v>
      </c>
      <c r="I294" s="11"/>
      <c r="J294" s="11"/>
      <c r="K294" s="11"/>
      <c r="L294" s="30" t="e">
        <f t="shared" si="31"/>
        <v>#DIV/0!</v>
      </c>
      <c r="M294" s="11"/>
      <c r="N294" s="11"/>
      <c r="O294" s="18" t="e">
        <f t="shared" si="32"/>
        <v>#DIV/0!</v>
      </c>
      <c r="P294" s="11"/>
      <c r="Q294" s="18">
        <f t="shared" si="33"/>
        <v>0</v>
      </c>
      <c r="R294" s="12"/>
      <c r="S294" s="12"/>
      <c r="T294" s="18" t="e">
        <f t="shared" si="34"/>
        <v>#DIV/0!</v>
      </c>
      <c r="U294" s="11"/>
      <c r="V294" s="11"/>
      <c r="W294" s="18" t="e">
        <f t="shared" si="35"/>
        <v>#DIV/0!</v>
      </c>
    </row>
    <row r="295" spans="2:23" x14ac:dyDescent="0.3">
      <c r="B295" s="14">
        <v>290</v>
      </c>
      <c r="C295" s="11"/>
      <c r="D295" s="14"/>
      <c r="E295" s="11"/>
      <c r="F295" s="11"/>
      <c r="G295" s="11"/>
      <c r="H295" s="18">
        <f t="shared" si="30"/>
        <v>0</v>
      </c>
      <c r="I295" s="11"/>
      <c r="J295" s="11"/>
      <c r="K295" s="11"/>
      <c r="L295" s="30" t="e">
        <f t="shared" si="31"/>
        <v>#DIV/0!</v>
      </c>
      <c r="M295" s="11"/>
      <c r="N295" s="11"/>
      <c r="O295" s="18" t="e">
        <f t="shared" si="32"/>
        <v>#DIV/0!</v>
      </c>
      <c r="P295" s="11"/>
      <c r="Q295" s="18">
        <f t="shared" si="33"/>
        <v>0</v>
      </c>
      <c r="R295" s="12"/>
      <c r="S295" s="12"/>
      <c r="T295" s="18" t="e">
        <f t="shared" si="34"/>
        <v>#DIV/0!</v>
      </c>
      <c r="U295" s="11"/>
      <c r="V295" s="11"/>
      <c r="W295" s="18" t="e">
        <f t="shared" si="35"/>
        <v>#DIV/0!</v>
      </c>
    </row>
    <row r="296" spans="2:23" x14ac:dyDescent="0.3">
      <c r="B296" s="14">
        <v>291</v>
      </c>
      <c r="C296" s="11"/>
      <c r="D296" s="14"/>
      <c r="E296" s="11"/>
      <c r="F296" s="11"/>
      <c r="G296" s="11"/>
      <c r="H296" s="18">
        <f t="shared" si="30"/>
        <v>0</v>
      </c>
      <c r="I296" s="11"/>
      <c r="J296" s="11"/>
      <c r="K296" s="11"/>
      <c r="L296" s="30" t="e">
        <f t="shared" si="31"/>
        <v>#DIV/0!</v>
      </c>
      <c r="M296" s="11"/>
      <c r="N296" s="11"/>
      <c r="O296" s="18" t="e">
        <f t="shared" si="32"/>
        <v>#DIV/0!</v>
      </c>
      <c r="P296" s="11"/>
      <c r="Q296" s="18">
        <f t="shared" si="33"/>
        <v>0</v>
      </c>
      <c r="R296" s="12"/>
      <c r="S296" s="12"/>
      <c r="T296" s="18" t="e">
        <f t="shared" si="34"/>
        <v>#DIV/0!</v>
      </c>
      <c r="U296" s="11"/>
      <c r="V296" s="11"/>
      <c r="W296" s="18" t="e">
        <f t="shared" si="35"/>
        <v>#DIV/0!</v>
      </c>
    </row>
    <row r="297" spans="2:23" x14ac:dyDescent="0.3">
      <c r="B297" s="14">
        <v>292</v>
      </c>
      <c r="C297" s="11"/>
      <c r="D297" s="14"/>
      <c r="E297" s="11"/>
      <c r="F297" s="11"/>
      <c r="G297" s="11"/>
      <c r="H297" s="18">
        <f t="shared" si="30"/>
        <v>0</v>
      </c>
      <c r="I297" s="11"/>
      <c r="J297" s="11"/>
      <c r="K297" s="11"/>
      <c r="L297" s="30" t="e">
        <f t="shared" si="31"/>
        <v>#DIV/0!</v>
      </c>
      <c r="M297" s="11"/>
      <c r="N297" s="11"/>
      <c r="O297" s="18" t="e">
        <f t="shared" si="32"/>
        <v>#DIV/0!</v>
      </c>
      <c r="P297" s="11"/>
      <c r="Q297" s="18">
        <f t="shared" si="33"/>
        <v>0</v>
      </c>
      <c r="R297" s="12"/>
      <c r="S297" s="12"/>
      <c r="T297" s="18" t="e">
        <f t="shared" si="34"/>
        <v>#DIV/0!</v>
      </c>
      <c r="U297" s="11"/>
      <c r="V297" s="11"/>
      <c r="W297" s="18" t="e">
        <f t="shared" si="35"/>
        <v>#DIV/0!</v>
      </c>
    </row>
    <row r="298" spans="2:23" x14ac:dyDescent="0.3">
      <c r="B298" s="14">
        <v>293</v>
      </c>
      <c r="C298" s="11"/>
      <c r="D298" s="14"/>
      <c r="E298" s="11"/>
      <c r="F298" s="11"/>
      <c r="G298" s="11"/>
      <c r="H298" s="18">
        <f t="shared" ref="H298:H305" si="36">G298</f>
        <v>0</v>
      </c>
      <c r="I298" s="11"/>
      <c r="J298" s="11"/>
      <c r="K298" s="11"/>
      <c r="L298" s="30" t="e">
        <f t="shared" ref="L298:L305" si="37">AVERAGE(J298:K298)</f>
        <v>#DIV/0!</v>
      </c>
      <c r="M298" s="11"/>
      <c r="N298" s="11"/>
      <c r="O298" s="18" t="e">
        <f t="shared" ref="O298:O305" si="38">AVERAGE(M298:N298)</f>
        <v>#DIV/0!</v>
      </c>
      <c r="P298" s="11"/>
      <c r="Q298" s="18">
        <f t="shared" ref="Q298:Q305" si="39">P298</f>
        <v>0</v>
      </c>
      <c r="R298" s="12"/>
      <c r="S298" s="12"/>
      <c r="T298" s="18" t="e">
        <f t="shared" ref="T298:T305" si="40">AVERAGE(R298:S298)</f>
        <v>#DIV/0!</v>
      </c>
      <c r="U298" s="11"/>
      <c r="V298" s="11"/>
      <c r="W298" s="18" t="e">
        <f t="shared" ref="W298:W305" si="41">AVERAGE(U298:V298)</f>
        <v>#DIV/0!</v>
      </c>
    </row>
    <row r="299" spans="2:23" x14ac:dyDescent="0.3">
      <c r="B299" s="14">
        <v>294</v>
      </c>
      <c r="C299" s="11"/>
      <c r="D299" s="14"/>
      <c r="E299" s="11"/>
      <c r="F299" s="11"/>
      <c r="G299" s="11"/>
      <c r="H299" s="18">
        <f t="shared" si="36"/>
        <v>0</v>
      </c>
      <c r="I299" s="11"/>
      <c r="J299" s="11"/>
      <c r="K299" s="11"/>
      <c r="L299" s="30" t="e">
        <f t="shared" si="37"/>
        <v>#DIV/0!</v>
      </c>
      <c r="M299" s="11"/>
      <c r="N299" s="11"/>
      <c r="O299" s="18" t="e">
        <f t="shared" si="38"/>
        <v>#DIV/0!</v>
      </c>
      <c r="P299" s="11"/>
      <c r="Q299" s="18">
        <f t="shared" si="39"/>
        <v>0</v>
      </c>
      <c r="R299" s="12"/>
      <c r="S299" s="12"/>
      <c r="T299" s="18" t="e">
        <f t="shared" si="40"/>
        <v>#DIV/0!</v>
      </c>
      <c r="U299" s="11"/>
      <c r="V299" s="11"/>
      <c r="W299" s="18" t="e">
        <f t="shared" si="41"/>
        <v>#DIV/0!</v>
      </c>
    </row>
    <row r="300" spans="2:23" x14ac:dyDescent="0.3">
      <c r="B300" s="14">
        <v>295</v>
      </c>
      <c r="C300" s="11"/>
      <c r="D300" s="14"/>
      <c r="E300" s="11"/>
      <c r="F300" s="11"/>
      <c r="G300" s="11"/>
      <c r="H300" s="18">
        <f t="shared" si="36"/>
        <v>0</v>
      </c>
      <c r="I300" s="11"/>
      <c r="J300" s="11"/>
      <c r="K300" s="11"/>
      <c r="L300" s="30" t="e">
        <f t="shared" si="37"/>
        <v>#DIV/0!</v>
      </c>
      <c r="M300" s="11"/>
      <c r="N300" s="11"/>
      <c r="O300" s="18" t="e">
        <f t="shared" si="38"/>
        <v>#DIV/0!</v>
      </c>
      <c r="P300" s="11"/>
      <c r="Q300" s="18">
        <f t="shared" si="39"/>
        <v>0</v>
      </c>
      <c r="R300" s="12"/>
      <c r="S300" s="12"/>
      <c r="T300" s="18" t="e">
        <f t="shared" si="40"/>
        <v>#DIV/0!</v>
      </c>
      <c r="U300" s="11"/>
      <c r="V300" s="11"/>
      <c r="W300" s="18" t="e">
        <f t="shared" si="41"/>
        <v>#DIV/0!</v>
      </c>
    </row>
    <row r="301" spans="2:23" x14ac:dyDescent="0.3">
      <c r="B301" s="14">
        <v>296</v>
      </c>
      <c r="C301" s="11"/>
      <c r="D301" s="14"/>
      <c r="E301" s="11"/>
      <c r="F301" s="11"/>
      <c r="G301" s="11"/>
      <c r="H301" s="18">
        <f t="shared" si="36"/>
        <v>0</v>
      </c>
      <c r="I301" s="11"/>
      <c r="J301" s="11"/>
      <c r="K301" s="11"/>
      <c r="L301" s="30" t="e">
        <f t="shared" si="37"/>
        <v>#DIV/0!</v>
      </c>
      <c r="M301" s="11"/>
      <c r="N301" s="11"/>
      <c r="O301" s="18" t="e">
        <f t="shared" si="38"/>
        <v>#DIV/0!</v>
      </c>
      <c r="P301" s="11"/>
      <c r="Q301" s="18">
        <f t="shared" si="39"/>
        <v>0</v>
      </c>
      <c r="R301" s="12"/>
      <c r="S301" s="12"/>
      <c r="T301" s="18" t="e">
        <f t="shared" si="40"/>
        <v>#DIV/0!</v>
      </c>
      <c r="U301" s="11"/>
      <c r="V301" s="11"/>
      <c r="W301" s="18" t="e">
        <f t="shared" si="41"/>
        <v>#DIV/0!</v>
      </c>
    </row>
    <row r="302" spans="2:23" x14ac:dyDescent="0.3">
      <c r="B302" s="14">
        <v>297</v>
      </c>
      <c r="C302" s="11"/>
      <c r="D302" s="14"/>
      <c r="E302" s="11"/>
      <c r="F302" s="11"/>
      <c r="G302" s="11"/>
      <c r="H302" s="18">
        <f t="shared" si="36"/>
        <v>0</v>
      </c>
      <c r="I302" s="11"/>
      <c r="J302" s="11"/>
      <c r="K302" s="11"/>
      <c r="L302" s="30" t="e">
        <f t="shared" si="37"/>
        <v>#DIV/0!</v>
      </c>
      <c r="M302" s="11"/>
      <c r="N302" s="11"/>
      <c r="O302" s="18" t="e">
        <f t="shared" si="38"/>
        <v>#DIV/0!</v>
      </c>
      <c r="P302" s="11"/>
      <c r="Q302" s="18">
        <f t="shared" si="39"/>
        <v>0</v>
      </c>
      <c r="R302" s="12"/>
      <c r="S302" s="12"/>
      <c r="T302" s="18" t="e">
        <f t="shared" si="40"/>
        <v>#DIV/0!</v>
      </c>
      <c r="U302" s="11"/>
      <c r="V302" s="11"/>
      <c r="W302" s="18" t="e">
        <f t="shared" si="41"/>
        <v>#DIV/0!</v>
      </c>
    </row>
    <row r="303" spans="2:23" x14ac:dyDescent="0.3">
      <c r="B303" s="14">
        <v>298</v>
      </c>
      <c r="C303" s="11"/>
      <c r="D303" s="14"/>
      <c r="E303" s="11"/>
      <c r="F303" s="11"/>
      <c r="G303" s="11"/>
      <c r="H303" s="18">
        <f t="shared" si="36"/>
        <v>0</v>
      </c>
      <c r="I303" s="11"/>
      <c r="J303" s="11"/>
      <c r="K303" s="11"/>
      <c r="L303" s="30" t="e">
        <f t="shared" si="37"/>
        <v>#DIV/0!</v>
      </c>
      <c r="M303" s="11"/>
      <c r="N303" s="11"/>
      <c r="O303" s="18" t="e">
        <f t="shared" si="38"/>
        <v>#DIV/0!</v>
      </c>
      <c r="P303" s="11"/>
      <c r="Q303" s="18">
        <f t="shared" si="39"/>
        <v>0</v>
      </c>
      <c r="R303" s="12"/>
      <c r="S303" s="12"/>
      <c r="T303" s="18" t="e">
        <f t="shared" si="40"/>
        <v>#DIV/0!</v>
      </c>
      <c r="U303" s="11"/>
      <c r="V303" s="11"/>
      <c r="W303" s="18" t="e">
        <f t="shared" si="41"/>
        <v>#DIV/0!</v>
      </c>
    </row>
    <row r="304" spans="2:23" x14ac:dyDescent="0.3">
      <c r="B304" s="14">
        <v>299</v>
      </c>
      <c r="C304" s="11"/>
      <c r="D304" s="14"/>
      <c r="E304" s="11"/>
      <c r="F304" s="11"/>
      <c r="G304" s="11"/>
      <c r="H304" s="18">
        <f t="shared" si="36"/>
        <v>0</v>
      </c>
      <c r="I304" s="11"/>
      <c r="J304" s="11"/>
      <c r="K304" s="11"/>
      <c r="L304" s="30" t="e">
        <f t="shared" si="37"/>
        <v>#DIV/0!</v>
      </c>
      <c r="M304" s="11"/>
      <c r="N304" s="11"/>
      <c r="O304" s="18" t="e">
        <f t="shared" si="38"/>
        <v>#DIV/0!</v>
      </c>
      <c r="P304" s="11"/>
      <c r="Q304" s="18">
        <f t="shared" si="39"/>
        <v>0</v>
      </c>
      <c r="R304" s="12"/>
      <c r="S304" s="12"/>
      <c r="T304" s="18" t="e">
        <f t="shared" si="40"/>
        <v>#DIV/0!</v>
      </c>
      <c r="U304" s="11"/>
      <c r="V304" s="11"/>
      <c r="W304" s="18" t="e">
        <f t="shared" si="41"/>
        <v>#DIV/0!</v>
      </c>
    </row>
    <row r="305" spans="2:23" x14ac:dyDescent="0.3">
      <c r="B305" s="14">
        <v>300</v>
      </c>
      <c r="C305" s="11"/>
      <c r="D305" s="14"/>
      <c r="E305" s="11"/>
      <c r="F305" s="11"/>
      <c r="G305" s="11"/>
      <c r="H305" s="18">
        <f t="shared" si="36"/>
        <v>0</v>
      </c>
      <c r="I305" s="11"/>
      <c r="J305" s="11"/>
      <c r="K305" s="11"/>
      <c r="L305" s="30" t="e">
        <f t="shared" si="37"/>
        <v>#DIV/0!</v>
      </c>
      <c r="M305" s="11"/>
      <c r="N305" s="11"/>
      <c r="O305" s="18" t="e">
        <f t="shared" si="38"/>
        <v>#DIV/0!</v>
      </c>
      <c r="P305" s="11"/>
      <c r="Q305" s="18">
        <f t="shared" si="39"/>
        <v>0</v>
      </c>
      <c r="R305" s="12"/>
      <c r="S305" s="12"/>
      <c r="T305" s="18" t="e">
        <f t="shared" si="40"/>
        <v>#DIV/0!</v>
      </c>
      <c r="U305" s="11"/>
      <c r="V305" s="11"/>
      <c r="W305" s="18" t="e">
        <f t="shared" si="41"/>
        <v>#DIV/0!</v>
      </c>
    </row>
  </sheetData>
  <sheetProtection sheet="1" formatCells="0" formatColumns="0" formatRows="0" insertColumns="0" insertRows="0" insertHyperlinks="0" deleteColumns="0" deleteRows="0" sort="0" autoFilter="0" pivotTables="0"/>
  <mergeCells count="10">
    <mergeCell ref="AA6:AB6"/>
    <mergeCell ref="U4:W4"/>
    <mergeCell ref="B4:B5"/>
    <mergeCell ref="C2:W2"/>
    <mergeCell ref="C4:D4"/>
    <mergeCell ref="P4:Q4"/>
    <mergeCell ref="E4:H4"/>
    <mergeCell ref="J4:L4"/>
    <mergeCell ref="M4:O4"/>
    <mergeCell ref="R4:T4"/>
  </mergeCells>
  <phoneticPr fontId="15" type="noConversion"/>
  <conditionalFormatting sqref="E6:F6 E7:E17 F7:F305">
    <cfRule type="containsText" dxfId="3" priority="4" operator="containsText" text="NÃO">
      <formula>NOT(ISERROR(SEARCH("NÃO",E6)))</formula>
    </cfRule>
  </conditionalFormatting>
  <conditionalFormatting sqref="E6:F6 F7:F305 E7:E15">
    <cfRule type="containsText" dxfId="2" priority="3" operator="containsText" text="SIM">
      <formula>NOT(ISERROR(SEARCH("SIM",E6)))</formula>
    </cfRule>
  </conditionalFormatting>
  <conditionalFormatting sqref="F6:W305">
    <cfRule type="expression" dxfId="1" priority="2">
      <formula>OR($E6="N",$E6="NÃO")</formula>
    </cfRule>
  </conditionalFormatting>
  <conditionalFormatting sqref="G6:W305">
    <cfRule type="expression" dxfId="0" priority="1">
      <formula>OR($F6="N",$F6="NÃO")</formula>
    </cfRule>
  </conditionalFormatting>
  <dataValidations count="1">
    <dataValidation type="list" allowBlank="1" showInputMessage="1" showErrorMessage="1" sqref="D6:D305" xr:uid="{B4E0399A-9065-4FAD-9F18-96C63EA6292B}">
      <formula1>$Y$6:$Y$15</formula1>
    </dataValidation>
  </dataValidations>
  <pageMargins left="0.25" right="0.25" top="0.75" bottom="0.75" header="0.3" footer="0.3"/>
  <pageSetup paperSize="8" orientation="landscape" r:id="rId1"/>
  <headerFooter>
    <oddFooter>&amp;L&amp;"Cambria,Normal"MOD 8.1.4 - Avaliação de Fornecedores&amp;C&amp;"Cambria,Normal"&amp;P de &amp;N&amp;R&amp;"Cambria,Normal"R0 00 &amp;D</oddFooter>
  </headerFooter>
  <ignoredErrors>
    <ignoredError sqref="O7:O9 L7:L9 T7:T9 W7:W9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8</vt:i4>
      </vt:variant>
    </vt:vector>
  </HeadingPairs>
  <TitlesOfParts>
    <vt:vector size="8" baseType="lpstr">
      <vt:lpstr>Guia - Avaliação</vt:lpstr>
      <vt:lpstr>Avaliação dos Fornecedores</vt:lpstr>
      <vt:lpstr>Guia - Critério de Análise</vt:lpstr>
      <vt:lpstr>Critério de Análise dos Forne</vt:lpstr>
      <vt:lpstr>Guia - Seleção</vt:lpstr>
      <vt:lpstr>Seleção dos Fornecedores</vt:lpstr>
      <vt:lpstr>Guia - Critérios de Seleção</vt:lpstr>
      <vt:lpstr>Critérios de Seleção de Fornece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THIFFANY GONÇALVES</dc:creator>
  <cp:lastModifiedBy>Thiffany Gonçalves</cp:lastModifiedBy>
  <dcterms:created xsi:type="dcterms:W3CDTF">2026-02-10T11:39:40Z</dcterms:created>
  <dcterms:modified xsi:type="dcterms:W3CDTF">2026-10-12T09:35:02Z</dcterms:modified>
</cp:coreProperties>
</file>